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520ac70b0b47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說明" sheetId="1" r:id="R7a7b87c14b9e434f"/>
    <x:sheet xmlns:r="http://schemas.openxmlformats.org/officeDocument/2006/relationships" name="階段總覽" sheetId="2" r:id="Rd373fdb0a5c545bb"/>
    <x:sheet xmlns:r="http://schemas.openxmlformats.org/officeDocument/2006/relationships" name="工作檢核表" sheetId="3" r:id="R0da20e1eb9114df4"/>
    <x:sheet xmlns:r="http://schemas.openxmlformats.org/officeDocument/2006/relationships" name="修正紀錄" sheetId="4" r:id="Ra3cd242705a54d6a"/>
    <x:sheet xmlns:r="http://schemas.openxmlformats.org/officeDocument/2006/relationships" name="原始計畫摘要" sheetId="5" r:id="Rc652531b4e8c4f9b"/>
    <x:sheet xmlns:r="http://schemas.openxmlformats.org/officeDocument/2006/relationships" name="清單" sheetId="6" r:id="R4b3fa4afd9ae49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36515F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3451"/>
      </x:patternFill>
    </x:fill>
    <x:fill>
      <x:patternFill patternType="solid">
        <x:fgColor rgb="FFEAF2F0"/>
      </x:patternFill>
    </x:fill>
    <x:fill>
      <x:patternFill patternType="solid">
        <x:fgColor rgb="FFEE5540"/>
      </x:patternFill>
    </x:fill>
    <x:fill>
      <x:patternFill patternType="solid">
        <x:fgColor rgb="FF6F8F72"/>
      </x:patternFill>
    </x:fill>
    <x:fill>
      <x:patternFill patternType="solid">
        <x:fgColor rgb="FF2F5D62"/>
      </x:patternFill>
    </x:fill>
  </x:fills>
  <x:borders count="19">
    <x:border/>
    <x:border>
      <x:right style="thin">
        <x:color rgb="FFD9E1DF"/>
      </x:right>
      <x:bottom style="thin">
        <x:color rgb="FFD9E1DF"/>
      </x:bottom>
    </x:border>
    <x:border>
      <x:left style="thin">
        <x:color rgb="FFD9E1DF"/>
      </x:left>
      <x:right style="thin">
        <x:color rgb="FFD9E1DF"/>
      </x:right>
      <x:bottom style="thin">
        <x:color rgb="FFD9E1DF"/>
      </x:bottom>
    </x:border>
    <x:border>
      <x:left style="thin">
        <x:color rgb="FFD9E1DF"/>
      </x:left>
      <x:bottom style="thin">
        <x:color rgb="FFD9E1DF"/>
      </x:bottom>
    </x:border>
    <x:border>
      <x:right style="thin">
        <x:color rgb="FFD9E1DF"/>
      </x:right>
      <x:top style="thin">
        <x:color rgb="FFD9E1DF"/>
      </x:top>
      <x:bottom style="thin">
        <x:color rgb="FFD9E1DF"/>
      </x:bottom>
    </x:border>
    <x:border>
      <x:left style="thin">
        <x:color rgb="FFD9E1DF"/>
      </x:left>
      <x:right style="thin">
        <x:color rgb="FFD9E1DF"/>
      </x:right>
      <x:top style="thin">
        <x:color rgb="FFD9E1DF"/>
      </x:top>
      <x:bottom style="thin">
        <x:color rgb="FFD9E1DF"/>
      </x:bottom>
    </x:border>
    <x:border>
      <x:left style="thin">
        <x:color rgb="FFD9E1DF"/>
      </x:left>
      <x:top style="thin">
        <x:color rgb="FFD9E1DF"/>
      </x:top>
      <x:bottom style="thin">
        <x:color rgb="FFD9E1DF"/>
      </x:bottom>
    </x:border>
    <x:border>
      <x:right style="thin">
        <x:color rgb="FFD9E1DF"/>
      </x:right>
      <x:top style="thin">
        <x:color rgb="FFD9E1DF"/>
      </x:top>
    </x:border>
    <x:border>
      <x:left style="thin">
        <x:color rgb="FFD9E1DF"/>
      </x:left>
      <x:right style="thin">
        <x:color rgb="FFD9E1DF"/>
      </x:right>
      <x:top style="thin">
        <x:color rgb="FFD9E1DF"/>
      </x:top>
    </x:border>
    <x:border>
      <x:left style="thin">
        <x:color rgb="FFD9E1DF"/>
      </x:left>
      <x:top style="thin">
        <x:color rgb="FFD9E1DF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1" fillId="5" borderId="4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200" fontId="0" fillId="0" borderId="3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201" fontId="0" fillId="0" borderId="14" xfId="0" applyNumberFormat="1" applyFont="1" applyFill="1" applyBorder="1" applyAlignment="1">
      <x:alignment wrapText="1"/>
    </x:xf>
    <x:xf numFmtId="201" fontId="0" fillId="0" borderId="17" xfId="0" applyNumberFormat="1" applyFont="1" applyFill="1" applyBorder="1" applyAlignment="1">
      <x:alignment wrapText="1"/>
    </x:xf>
    <x:xf numFmtId="201" fontId="1" fillId="2" borderId="0" xfId="0" applyNumberFormat="1" applyFont="1" applyFill="1" applyBorder="1"/>
  </x:cellXfs>
  <x:cellStyles count="1">
    <x:cellStyle name="Normal" xfId="0"/>
  </x:cellStyles>
  <x:dxfs count="5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1D4ED8"/>
      </x:font>
      <x:fill>
        <x:patternFill patternType="solid">
          <x:bgColor rgb="FFDBEAFE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2a66ead71e422b" /><Relationship Type="http://schemas.openxmlformats.org/officeDocument/2006/relationships/theme" Target="/xl/theme/theme1.xml" Id="R5f725a757cfa48d8" /><Relationship Type="http://schemas.openxmlformats.org/officeDocument/2006/relationships/sharedStrings" Target="/xl/sharedStrings.xml" Id="Rea7fb8261a944b11" /><Relationship Type="http://schemas.openxmlformats.org/officeDocument/2006/relationships/worksheet" Target="/xl/worksheets/sheet1.xml" Id="R7a7b87c14b9e434f" /><Relationship Type="http://schemas.openxmlformats.org/officeDocument/2006/relationships/worksheet" Target="/xl/worksheets/sheet2.xml" Id="Rd373fdb0a5c545bb" /><Relationship Type="http://schemas.openxmlformats.org/officeDocument/2006/relationships/worksheet" Target="/xl/worksheets/sheet3.xml" Id="R0da20e1eb9114df4" /><Relationship Type="http://schemas.openxmlformats.org/officeDocument/2006/relationships/worksheet" Target="/xl/worksheets/sheet4.xml" Id="Ra3cd242705a54d6a" /><Relationship Type="http://schemas.openxmlformats.org/officeDocument/2006/relationships/worksheet" Target="/xl/worksheets/sheet5.xml" Id="Rc652531b4e8c4f9b" /><Relationship Type="http://schemas.openxmlformats.org/officeDocument/2006/relationships/worksheet" Target="/xl/worksheets/sheet6.xml" Id="R4b3fa4afd9ae497e" /><Relationship Type="http://schemas.microsoft.com/office/2017/10/relationships/person" Target="/xl/persons/person.xml" Id="Re737daad322a4f3c" /></Relationships>
</file>

<file path=xl/persons/person.xml><?xml version="1.0" encoding="utf-8"?>
<xltc:personList xmlns:xltc="http://schemas.microsoft.com/office/spreadsheetml/2018/threadedcomments">
  <xltc:person displayName="User" id="{317B4F2F-5E1F-4AAE-BE94-1D60FD7C27E3}"/>
</xltc:personList>
</file>

<file path=xl/tables/table1.xml><?xml version="1.0" encoding="utf-8"?>
<x:table xmlns:x="http://schemas.openxmlformats.org/spreadsheetml/2006/main" id="1" name="PrepChecklist" displayName="PrepChecklist" ref="A1:N42" headerRowCount="1" totalsRowCount="0" totalsRowShown="0">
  <x:tableColumns count="14">
    <x:tableColumn id="1" name="ID"/>
    <x:tableColumn id="2" name="階段"/>
    <x:tableColumn id="3" name="期程"/>
    <x:tableColumn id="4" name="工作類別"/>
    <x:tableColumn id="5" name="檢核項目"/>
    <x:tableColumn id="6" name="具體檢核重點/完成標準"/>
    <x:tableColumn id="7" name="佐證資料/產出"/>
    <x:tableColumn id="8" name="優先"/>
    <x:tableColumn id="9" name="負責單位/人"/>
    <x:tableColumn id="10" name="預定完成日"/>
    <x:tableColumn id="11" name="狀態"/>
    <x:tableColumn id="12" name="完成日"/>
    <x:tableColumn id="13" name="風險/需修正事項"/>
    <x:tableColumn id="14" name="修正紀錄/下一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sionLog" displayName="RevisionLog" ref="A1:I21" headerRowCount="1" totalsRowCount="0" totalsRowShown="0">
  <x:tableColumns count="9">
    <x:tableColumn id="1" name="日期"/>
    <x:tableColumn id="2" name="階段"/>
    <x:tableColumn id="3" name="關聯ID"/>
    <x:tableColumn id="4" name="變更/問題描述"/>
    <x:tableColumn id="5" name="影響面向"/>
    <x:tableColumn id="6" name="決議"/>
    <x:tableColumn id="7" name="負責人"/>
    <x:tableColumn id="8" name="追蹤期限"/>
    <x:tableColumn id="9" name="結案狀態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ummary" displayName="SourceSummary" ref="A1:D9" headerRowCount="1" totalsRowCount="0" totalsRowShown="0">
  <x:tableColumns count="4">
    <x:tableColumn id="1" name="階段"/>
    <x:tableColumn id="2" name="期程"/>
    <x:tableColumn id="3" name="主題"/>
    <x:tableColumn id="4" name="原始計畫重點摘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cd0d2dbcb334e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5568925fbaf4c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c1ffd79de8543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睿思實驗教育機構 115-116 籌備工作檢核表</x:v>
      </x:c>
    </x:row>
    <x:row r="2" ht="24" customHeight="1">
      <x:c r="A2" s="5" t="str">
        <x:v>來源：睿思實驗教育機構 115-116籌備計畫0617.pdf｜用途：籌備會議追蹤、風險檢核、修正紀錄</x:v>
      </x:c>
    </x:row>
    <x:row r="4" ht="24" customHeight="1">
      <x:c r="A4" s="7" t="str">
        <x:v>使用方式</x:v>
      </x:c>
    </x:row>
    <x:row r="5" ht="23" customHeight="1">
      <x:c r="A5" s="20" t="str">
        <x:v>1</x:v>
      </x:c>
      <x:c r="B5" s="21" t="str">
        <x:v>每週或雙週召開籌備會議前，先更新「工作檢核表」的狀態、負責人、預定完成日與風險。</x:v>
      </x:c>
      <x:c r="C5" s="21" t="str"/>
      <x:c r="D5" s="21" t="str"/>
      <x:c r="E5" s="21" t="str"/>
      <x:c r="F5" s="21" t="str"/>
      <x:c r="G5" s="21" t="str"/>
      <x:c r="H5" s="22" t="str"/>
    </x:row>
    <x:row r="6" ht="23" customHeight="1">
      <x:c r="A6" s="23" t="str">
        <x:v>2</x:v>
      </x:c>
      <x:c r="B6" s="24" t="str">
        <x:v>遇到法規、場地、招生、師資或預算變動時，在「修正紀錄」留下決策依據與後續追蹤。</x:v>
      </x:c>
      <x:c r="C6" s="24" t="str"/>
      <x:c r="D6" s="24" t="str"/>
      <x:c r="E6" s="24" t="str"/>
      <x:c r="F6" s="24" t="str"/>
      <x:c r="G6" s="24" t="str"/>
      <x:c r="H6" s="25" t="str"/>
    </x:row>
    <x:row r="7" ht="23" customHeight="1">
      <x:c r="A7" s="23" t="str">
        <x:v>3</x:v>
      </x:c>
      <x:c r="B7" s="24" t="str">
        <x:v>「階段總覽」會依工作檢核表狀態自動統計完成率，便於掌握八期推進節奏。</x:v>
      </x:c>
      <x:c r="C7" s="24" t="str"/>
      <x:c r="D7" s="24" t="str"/>
      <x:c r="E7" s="24" t="str"/>
      <x:c r="F7" s="24" t="str"/>
      <x:c r="G7" s="24" t="str"/>
      <x:c r="H7" s="25" t="str"/>
    </x:row>
    <x:row r="8" ht="23" customHeight="1">
      <x:c r="A8" s="23" t="str">
        <x:v>4</x:v>
      </x:c>
      <x:c r="B8" s="24" t="str">
        <x:v>建議把佐證資料連結、雲端資料夾或文件編號填入「佐證資料/產出」欄。</x:v>
      </x:c>
      <x:c r="C8" s="24" t="str"/>
      <x:c r="D8" s="24" t="str"/>
      <x:c r="E8" s="24" t="str"/>
      <x:c r="F8" s="24" t="str"/>
      <x:c r="G8" s="24" t="str"/>
      <x:c r="H8" s="25" t="str"/>
    </x:row>
    <x:row r="9" ht="23" customHeight="1">
      <x:c r="A9" s="23" t="str">
        <x:v>5</x:v>
      </x:c>
      <x:c r="B9" s="24" t="str">
        <x:v>狀態建議：待開始、進行中、待確認、已完成、延後、需修正。</x:v>
      </x:c>
      <x:c r="C9" s="24" t="str"/>
      <x:c r="D9" s="24" t="str"/>
      <x:c r="E9" s="24" t="str"/>
      <x:c r="F9" s="24" t="str"/>
      <x:c r="G9" s="24" t="str"/>
      <x:c r="H9" s="25" t="str"/>
    </x:row>
    <x:row r="10" ht="23" customHeight="1">
      <x:c r="A10" s="23" t="str"/>
      <x:c r="B10" s="24" t="str"/>
      <x:c r="C10" s="24" t="str"/>
      <x:c r="D10" s="24" t="str"/>
      <x:c r="E10" s="24" t="str"/>
      <x:c r="F10" s="24" t="str"/>
      <x:c r="G10" s="24" t="str"/>
      <x:c r="H10" s="25" t="str"/>
    </x:row>
    <x:row r="11" ht="23" customHeight="1">
      <x:c r="A11" s="23"/>
      <x:c r="B11" s="24"/>
      <x:c r="C11" s="24"/>
      <x:c r="D11" s="24"/>
      <x:c r="E11" s="24"/>
      <x:c r="F11" s="24"/>
      <x:c r="G11" s="24"/>
      <x:c r="H11" s="25"/>
    </x:row>
    <x:row r="12" ht="23" customHeight="1">
      <x:c r="A12" s="26" t="str">
        <x:v>會議快速檢核問題</x:v>
      </x:c>
      <x:c r="B12" s="24"/>
      <x:c r="C12" s="24"/>
      <x:c r="D12" s="24"/>
      <x:c r="E12" s="24"/>
      <x:c r="F12" s="24"/>
      <x:c r="G12" s="24"/>
      <x:c r="H12" s="25"/>
    </x:row>
    <x:row r="13" ht="23" customHeight="1">
      <x:c r="A13" s="23" t="str">
        <x:v>治理</x:v>
      </x:c>
      <x:c r="B13" s="24" t="str">
        <x:v>本期是否有明確決策者、負責人與回報節奏？</x:v>
      </x:c>
      <x:c r="C13" s="24" t="str"/>
      <x:c r="D13" s="24" t="str"/>
      <x:c r="E13" s="24" t="str"/>
      <x:c r="F13" s="24" t="str"/>
      <x:c r="G13" s="24" t="str"/>
      <x:c r="H13" s="25" t="str"/>
    </x:row>
    <x:row r="14" ht="23" customHeight="1">
      <x:c r="A14" s="23" t="str">
        <x:v>法規</x:v>
      </x:c>
      <x:c r="B14" s="24" t="str">
        <x:v>立案、場地、公安、消防、室裝與會勘是否有明確文件與時程？</x:v>
      </x:c>
      <x:c r="C14" s="24" t="str"/>
      <x:c r="D14" s="24" t="str"/>
      <x:c r="E14" s="24" t="str"/>
      <x:c r="F14" s="24" t="str"/>
      <x:c r="G14" s="24" t="str"/>
      <x:c r="H14" s="25" t="str"/>
    </x:row>
    <x:row r="15" ht="23" customHeight="1">
      <x:c r="A15" s="23" t="str">
        <x:v>招生</x:v>
      </x:c>
      <x:c r="B15" s="24" t="str">
        <x:v>家長溝通、說明會、面談、錄取與報到資料是否能銜接？</x:v>
      </x:c>
      <x:c r="C15" s="24" t="str"/>
      <x:c r="D15" s="24" t="str"/>
      <x:c r="E15" s="24" t="str"/>
      <x:c r="F15" s="24" t="str"/>
      <x:c r="G15" s="24" t="str"/>
      <x:c r="H15" s="25" t="str"/>
    </x:row>
    <x:row r="16" ht="23" customHeight="1">
      <x:c r="A16" s="23" t="str">
        <x:v>課程</x:v>
      </x:c>
      <x:c r="B16" s="24" t="str">
        <x:v>營隊、教案、師培與正式課程是否形成可驗證成果？</x:v>
      </x:c>
      <x:c r="C16" s="24" t="str"/>
      <x:c r="D16" s="24" t="str"/>
      <x:c r="E16" s="24" t="str"/>
      <x:c r="F16" s="24" t="str"/>
      <x:c r="G16" s="24" t="str"/>
      <x:c r="H16" s="25" t="str"/>
    </x:row>
    <x:row r="17" ht="23" customHeight="1">
      <x:c r="A17" s="23" t="str">
        <x:v>營運</x:v>
      </x:c>
      <x:c r="B17" s="24" t="str">
        <x:v>行政系統、財務流程、採購、SOP與開學動線是否已試運轉？</x:v>
      </x:c>
      <x:c r="C17" s="24" t="str"/>
      <x:c r="D17" s="24" t="str"/>
      <x:c r="E17" s="24" t="str"/>
      <x:c r="F17" s="24" t="str"/>
      <x:c r="G17" s="24" t="str"/>
      <x:c r="H17" s="25" t="str"/>
    </x:row>
    <x:row r="18" ht="23" customHeight="1">
      <x:c r="A18" s="27" t="str">
        <x:v>風險</x:v>
      </x:c>
      <x:c r="B18" s="28" t="str">
        <x:v>有哪些項目需補件、延後、增預算或改負責人？</x:v>
      </x:c>
      <x:c r="C18" s="28" t="str"/>
      <x:c r="D18" s="28" t="str"/>
      <x:c r="E18" s="28" t="str"/>
      <x:c r="F18" s="28" t="str"/>
      <x:c r="G18" s="28" t="str"/>
      <x:c r="H18" s="29" t="str"/>
    </x:row>
  </x:sheetData>
  <x:mergeCells>
    <x:mergeCell ref="A1:H1"/>
    <x:mergeCell ref="A2:H2"/>
    <x:mergeCell ref="A4:H4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8" hidden="0" customWidth="1"/>
    <x:col min="4" max="4" width="4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30" t="str">
        <x:v>階段總覽</x:v>
      </x:c>
    </x:row>
    <x:row r="3" ht="24" customHeight="1">
      <x:c r="A3" s="32" t="str">
        <x:v>階段</x:v>
      </x:c>
      <x:c r="B3" s="32" t="str">
        <x:v>期程</x:v>
      </x:c>
      <x:c r="C3" s="32" t="str">
        <x:v>階段名稱</x:v>
      </x:c>
      <x:c r="D3" s="32" t="str">
        <x:v>核心目標</x:v>
      </x:c>
      <x:c r="E3" s="32" t="str">
        <x:v>任務數</x:v>
      </x:c>
      <x:c r="F3" s="32" t="str">
        <x:v>已完成</x:v>
      </x:c>
      <x:c r="G3" s="32" t="str">
        <x:v>需關注</x:v>
      </x:c>
      <x:c r="H3" s="32" t="str">
        <x:v>完成率</x:v>
      </x:c>
    </x:row>
    <x:row r="4" ht="44" customHeight="1">
      <x:c r="A4" s="20" t="str">
        <x:v>第一期</x:v>
      </x:c>
      <x:c r="B4" s="21" t="str">
        <x:v>115年6月-7月</x:v>
      </x:c>
      <x:c r="C4" s="21" t="str">
        <x:v>計畫修正與立案前置期</x:v>
      </x:c>
      <x:c r="D4" s="21" t="str">
        <x:v>完成審議會修正意見、取得計畫核准、啟動核心行政編組</x:v>
      </x:c>
      <x:c r="E4" s="21" t="n">
        <x:f>COUNTIF('工作檢核表'!$B$2:$B$200,A4)</x:f>
        <x:v>7</x:v>
      </x:c>
      <x:c r="F4" s="21" t="n">
        <x:f>COUNTIFS('工作檢核表'!$B$2:$B$200,A4,'工作檢核表'!$K$2:$K$200,"已完成")</x:f>
        <x:v>0</x:v>
      </x:c>
      <x:c r="G4" s="21" t="n">
        <x:f>COUNTIFS('工作檢核表'!$B$2:$B$200,A4,'工作檢核表'!$K$2:$K$200,"需修正")+COUNTIFS('工作檢核表'!$B$2:$B$200,A4,'工作檢核表'!$K$2:$K$200,"延後")</x:f>
        <x:v>0</x:v>
      </x:c>
      <x:c r="H4" s="33" t="n">
        <x:f>IF(E4=0,0,F4/E4)</x:f>
        <x:v>0</x:v>
      </x:c>
    </x:row>
    <x:row r="5" ht="44" customHeight="1">
      <x:c r="A5" s="23" t="str">
        <x:v>第二期</x:v>
      </x:c>
      <x:c r="B5" s="24" t="str">
        <x:v>115年8月-9月</x:v>
      </x:c>
      <x:c r="C5" s="24" t="str">
        <x:v>硬體發包、團隊招募與理念倡議期</x:v>
      </x:c>
      <x:c r="D5" s="24" t="str">
        <x:v>空間合法施工、啟動第一線教職員徵選、對外發聲、確立內部規章</x:v>
      </x:c>
      <x:c r="E5" s="24" t="n">
        <x:f>COUNTIF('工作檢核表'!$B$2:$B$200,A5)</x:f>
        <x:v>8</x:v>
      </x:c>
      <x:c r="F5" s="24" t="n">
        <x:f>COUNTIFS('工作檢核表'!$B$2:$B$200,A5,'工作檢核表'!$K$2:$K$200,"已完成")</x:f>
        <x:v>0</x:v>
      </x:c>
      <x:c r="G5" s="24" t="n">
        <x:f>COUNTIFS('工作檢核表'!$B$2:$B$200,A5,'工作檢核表'!$K$2:$K$200,"需修正")+COUNTIFS('工作檢核表'!$B$2:$B$200,A5,'工作檢核表'!$K$2:$K$200,"延後")</x:f>
        <x:v>0</x:v>
      </x:c>
      <x:c r="H5" s="34" t="n">
        <x:f>IF(E5=0,0,F5/E5)</x:f>
        <x:v>0</x:v>
      </x:c>
    </x:row>
    <x:row r="6" ht="44" customHeight="1">
      <x:c r="A6" s="23" t="str">
        <x:v>第三期</x:v>
      </x:c>
      <x:c r="B6" s="24" t="str">
        <x:v>115年10月-11月</x:v>
      </x:c>
      <x:c r="C6" s="24" t="str">
        <x:v>機構立案、硬體施工期與設備建置期</x:v>
      </x:c>
      <x:c r="D6" s="24" t="str">
        <x:v>硬體期中查驗、教學設備採購、教職員錄取與初步共識</x:v>
      </x:c>
      <x:c r="E6" s="24" t="n">
        <x:f>COUNTIF('工作檢核表'!$B$2:$B$200,A6)</x:f>
        <x:v>7</x:v>
      </x:c>
      <x:c r="F6" s="24" t="n">
        <x:f>COUNTIFS('工作檢核表'!$B$2:$B$200,A6,'工作檢核表'!$K$2:$K$200,"已完成")</x:f>
        <x:v>0</x:v>
      </x:c>
      <x:c r="G6" s="24" t="n">
        <x:f>COUNTIFS('工作檢核表'!$B$2:$B$200,A6,'工作檢核表'!$K$2:$K$200,"需修正")+COUNTIFS('工作檢核表'!$B$2:$B$200,A6,'工作檢核表'!$K$2:$K$200,"延後")</x:f>
        <x:v>0</x:v>
      </x:c>
      <x:c r="H6" s="34" t="n">
        <x:f>IF(E6=0,0,F6/E6)</x:f>
        <x:v>0</x:v>
      </x:c>
    </x:row>
    <x:row r="7" ht="44" customHeight="1">
      <x:c r="A7" s="23" t="str">
        <x:v>第四期</x:v>
      </x:c>
      <x:c r="B7" s="24" t="str">
        <x:v>115年12月-116年1月</x:v>
      </x:c>
      <x:c r="C7" s="24" t="str">
        <x:v>寒假試辦、培訓啟動與立案申請期</x:v>
      </x:c>
      <x:c r="D7" s="24" t="str">
        <x:v>透過營隊測試課程、新進師資共識培訓、硬體完工，並於12月15日前遞交正式立案申請</x:v>
      </x:c>
      <x:c r="E7" s="24" t="n">
        <x:f>COUNTIF('工作檢核表'!$B$2:$B$200,A7)</x:f>
        <x:v>5</x:v>
      </x:c>
      <x:c r="F7" s="24" t="n">
        <x:f>COUNTIFS('工作檢核表'!$B$2:$B$200,A7,'工作檢核表'!$K$2:$K$200,"已完成")</x:f>
        <x:v>0</x:v>
      </x:c>
      <x:c r="G7" s="24" t="n">
        <x:f>COUNTIFS('工作檢核表'!$B$2:$B$200,A7,'工作檢核表'!$K$2:$K$200,"需修正")+COUNTIFS('工作檢核表'!$B$2:$B$200,A7,'工作檢核表'!$K$2:$K$200,"延後")</x:f>
        <x:v>0</x:v>
      </x:c>
      <x:c r="H7" s="34" t="n">
        <x:f>IF(E7=0,0,F7/E7)</x:f>
        <x:v>0</x:v>
      </x:c>
    </x:row>
    <x:row r="8" ht="44" customHeight="1">
      <x:c r="A8" s="23" t="str">
        <x:v>第五期</x:v>
      </x:c>
      <x:c r="B8" s="24" t="str">
        <x:v>116年2月-3月</x:v>
      </x:c>
      <x:c r="C8" s="24" t="str">
        <x:v>立案追蹤與正式招生期</x:v>
      </x:c>
      <x:c r="D8" s="24" t="str">
        <x:v>追蹤立案補件、會勘與審查進度，全面啟動招生作業、設備進駐</x:v>
      </x:c>
      <x:c r="E8" s="24" t="n">
        <x:f>COUNTIF('工作檢核表'!$B$2:$B$200,A8)</x:f>
        <x:v>2</x:v>
      </x:c>
      <x:c r="F8" s="24" t="n">
        <x:f>COUNTIFS('工作檢核表'!$B$2:$B$200,A8,'工作檢核表'!$K$2:$K$200,"已完成")</x:f>
        <x:v>0</x:v>
      </x:c>
      <x:c r="G8" s="24" t="n">
        <x:f>COUNTIFS('工作檢核表'!$B$2:$B$200,A8,'工作檢核表'!$K$2:$K$200,"需修正")+COUNTIFS('工作檢核表'!$B$2:$B$200,A8,'工作檢核表'!$K$2:$K$200,"延後")</x:f>
        <x:v>0</x:v>
      </x:c>
      <x:c r="H8" s="34" t="n">
        <x:f>IF(E8=0,0,F8/E8)</x:f>
        <x:v>0</x:v>
      </x:c>
    </x:row>
    <x:row r="9" ht="44" customHeight="1">
      <x:c r="A9" s="23" t="str">
        <x:v>第六期</x:v>
      </x:c>
      <x:c r="B9" s="24" t="str">
        <x:v>116年4月-5月</x:v>
      </x:c>
      <x:c r="C9" s="24" t="str">
        <x:v>面談錄取與教案深化期</x:v>
      </x:c>
      <x:c r="D9" s="24" t="str">
        <x:v>確認首屆學生名單、深化親師生關係、課程完備</x:v>
      </x:c>
      <x:c r="E9" s="24" t="n">
        <x:f>COUNTIF('工作檢核表'!$B$2:$B$200,A9)</x:f>
        <x:v>4</x:v>
      </x:c>
      <x:c r="F9" s="24" t="n">
        <x:f>COUNTIFS('工作檢核表'!$B$2:$B$200,A9,'工作檢核表'!$K$2:$K$200,"已完成")</x:f>
        <x:v>0</x:v>
      </x:c>
      <x:c r="G9" s="24" t="n">
        <x:f>COUNTIFS('工作檢核表'!$B$2:$B$200,A9,'工作檢核表'!$K$2:$K$200,"需修正")+COUNTIFS('工作檢核表'!$B$2:$B$200,A9,'工作檢核表'!$K$2:$K$200,"延後")</x:f>
        <x:v>0</x:v>
      </x:c>
      <x:c r="H9" s="34" t="n">
        <x:f>IF(E9=0,0,F9/E9)</x:f>
        <x:v>0</x:v>
      </x:c>
    </x:row>
    <x:row r="10" ht="44" customHeight="1">
      <x:c r="A10" s="23" t="str">
        <x:v>第七期</x:v>
      </x:c>
      <x:c r="B10" s="24" t="str">
        <x:v>116年6月-7月</x:v>
      </x:c>
      <x:c r="C10" s="24" t="str">
        <x:v>暑期營隊與開學整備期</x:v>
      </x:c>
      <x:c r="D10" s="24" t="str">
        <x:v>暑假銜接、行政系統壓力測試、準備就緒</x:v>
      </x:c>
      <x:c r="E10" s="24" t="n">
        <x:f>COUNTIF('工作檢核表'!$B$2:$B$200,A10)</x:f>
        <x:v>4</x:v>
      </x:c>
      <x:c r="F10" s="24" t="n">
        <x:f>COUNTIFS('工作檢核表'!$B$2:$B$200,A10,'工作檢核表'!$K$2:$K$200,"已完成")</x:f>
        <x:v>0</x:v>
      </x:c>
      <x:c r="G10" s="24" t="n">
        <x:f>COUNTIFS('工作檢核表'!$B$2:$B$200,A10,'工作檢核表'!$K$2:$K$200,"需修正")+COUNTIFS('工作檢核表'!$B$2:$B$200,A10,'工作檢核表'!$K$2:$K$200,"延後")</x:f>
        <x:v>0</x:v>
      </x:c>
      <x:c r="H10" s="34" t="n">
        <x:f>IF(E10=0,0,F10/E10)</x:f>
        <x:v>0</x:v>
      </x:c>
    </x:row>
    <x:row r="11" ht="44" customHeight="1">
      <x:c r="A11" s="27" t="str">
        <x:v>第八期</x:v>
      </x:c>
      <x:c r="B11" s="28" t="str">
        <x:v>116年8月</x:v>
      </x:c>
      <x:c r="C11" s="28" t="str">
        <x:v>開學準備與正式啟航期</x:v>
      </x:c>
      <x:c r="D11" s="28" t="str">
        <x:v>萬事具備、激勵團隊士氣、順利開學</x:v>
      </x:c>
      <x:c r="E11" s="28" t="n">
        <x:f>COUNTIF('工作檢核表'!$B$2:$B$200,A11)</x:f>
        <x:v>4</x:v>
      </x:c>
      <x:c r="F11" s="28" t="n">
        <x:f>COUNTIFS('工作檢核表'!$B$2:$B$200,A11,'工作檢核表'!$K$2:$K$200,"已完成")</x:f>
        <x:v>0</x:v>
      </x:c>
      <x:c r="G11" s="28" t="n">
        <x:f>COUNTIFS('工作檢核表'!$B$2:$B$200,A11,'工作檢核表'!$K$2:$K$200,"需修正")+COUNTIFS('工作檢核表'!$B$2:$B$200,A11,'工作檢核表'!$K$2:$K$200,"延後")</x:f>
        <x:v>0</x:v>
      </x:c>
      <x:c r="H11" s="35" t="n">
        <x:f>IF(E11=0,0,F11/E11)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7" hidden="0" customWidth="1"/>
    <x:col min="4" max="4" width="14" hidden="0" customWidth="1"/>
    <x:col min="5" max="5" width="30" hidden="0" customWidth="1"/>
    <x:col min="6" max="6" width="52" hidden="0" customWidth="1"/>
    <x:col min="7" max="7" width="28" hidden="0" customWidth="1"/>
    <x:col min="8" max="8" width="9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34" hidden="0" customWidth="1"/>
  </x:cols>
  <x:sheetData>
    <x:row r="1" ht="25" customHeight="1">
      <x:c r="A1" s="2" t="str">
        <x:v>ID</x:v>
      </x:c>
      <x:c r="B1" s="2" t="str">
        <x:v>階段</x:v>
      </x:c>
      <x:c r="C1" s="2" t="str">
        <x:v>期程</x:v>
      </x:c>
      <x:c r="D1" s="2" t="str">
        <x:v>工作類別</x:v>
      </x:c>
      <x:c r="E1" s="2" t="str">
        <x:v>檢核項目</x:v>
      </x:c>
      <x:c r="F1" s="2" t="str">
        <x:v>具體檢核重點/完成標準</x:v>
      </x:c>
      <x:c r="G1" s="2" t="str">
        <x:v>佐證資料/產出</x:v>
      </x:c>
      <x:c r="H1" s="2" t="str">
        <x:v>優先</x:v>
      </x:c>
      <x:c r="I1" s="2" t="str">
        <x:v>負責單位/人</x:v>
      </x:c>
      <x:c r="J1" s="2" t="str">
        <x:v>預定完成日</x:v>
      </x:c>
      <x:c r="K1" s="2" t="str">
        <x:v>狀態</x:v>
      </x:c>
      <x:c r="L1" s="2" t="str">
        <x:v>完成日</x:v>
      </x:c>
      <x:c r="M1" s="2" t="str">
        <x:v>風險/需修正事項</x:v>
      </x:c>
      <x:c r="N1" s="2" t="str">
        <x:v>修正紀錄/下一步</x:v>
      </x:c>
    </x:row>
    <x:row r="2" ht="36" customHeight="1">
      <x:c r="A2" s="45" t="str">
        <x:v>P1-01</x:v>
      </x:c>
      <x:c r="B2" s="46" t="str">
        <x:v>第一期</x:v>
      </x:c>
      <x:c r="C2" s="46" t="str">
        <x:v>115年6月-7月</x:v>
      </x:c>
      <x:c r="D2" s="46" t="str">
        <x:v>計畫修正與核准</x:v>
      </x:c>
      <x:c r="E2" s="46" t="str">
        <x:v>彙整新北市非學審議會委員意見</x:v>
      </x:c>
      <x:c r="F2" s="46" t="str">
        <x:v>完成6月2日委員意見逐項回覆與修正對照表。</x:v>
      </x:c>
      <x:c r="G2" s="46" t="str">
        <x:v>修正對照表、會議紀錄</x:v>
      </x:c>
      <x:c r="H2" s="46" t="str">
        <x:v>高</x:v>
      </x:c>
      <x:c r="I2" s="46" t="str">
        <x:v>計畫主持人/行政籌備</x:v>
      </x:c>
      <x:c r="J2" s="54" t="n">
        <x:v>46198</x:v>
      </x:c>
      <x:c r="K2" s="46" t="str">
        <x:v>待開始</x:v>
      </x:c>
      <x:c r="L2" s="54"/>
      <x:c r="M2" s="46" t="str"/>
      <x:c r="N2" s="47" t="str"/>
    </x:row>
    <x:row r="3" ht="36" customHeight="1">
      <x:c r="A3" s="48" t="str">
        <x:v>P1-02</x:v>
      </x:c>
      <x:c r="B3" s="49" t="str">
        <x:v>第一期</x:v>
      </x:c>
      <x:c r="C3" s="49" t="str">
        <x:v>115年6月-7月</x:v>
      </x:c>
      <x:c r="D3" s="49" t="str">
        <x:v>計畫修正與核准</x:v>
      </x:c>
      <x:c r="E3" s="49" t="str">
        <x:v>完成計畫書表件1至表件8文字修正補充</x:v>
      </x:c>
      <x:c r="F3" s="49" t="str">
        <x:v>確認實驗教育理念、課程、行政與場地資料一致，並於期限內函報教育局。</x:v>
      </x:c>
      <x:c r="G3" s="49" t="str">
        <x:v>修正版計畫書、函文紀錄</x:v>
      </x:c>
      <x:c r="H3" s="49" t="str">
        <x:v>高</x:v>
      </x:c>
      <x:c r="I3" s="49" t="str">
        <x:v>計畫主持人/教務籌備</x:v>
      </x:c>
      <x:c r="J3" s="55" t="n">
        <x:v>46203</x:v>
      </x:c>
      <x:c r="K3" s="49" t="str">
        <x:v>待開始</x:v>
      </x:c>
      <x:c r="L3" s="55"/>
      <x:c r="M3" s="49" t="str"/>
      <x:c r="N3" s="50" t="str"/>
    </x:row>
    <x:row r="4" ht="36" customHeight="1">
      <x:c r="A4" s="48" t="str">
        <x:v>P1-03</x:v>
      </x:c>
      <x:c r="B4" s="49" t="str">
        <x:v>第一期</x:v>
      </x:c>
      <x:c r="C4" s="49" t="str">
        <x:v>115年6月-7月</x:v>
      </x:c>
      <x:c r="D4" s="49" t="str">
        <x:v>計畫修正與核准</x:v>
      </x:c>
      <x:c r="E4" s="49" t="str">
        <x:v>追蹤7月份正式核准進度</x:v>
      </x:c>
      <x:c r="F4" s="49" t="str">
        <x:v>建立追蹤表，記錄承辦窗口、補件項目與核准狀態。</x:v>
      </x:c>
      <x:c r="G4" s="49" t="str">
        <x:v>教育局往來紀錄、追蹤表</x:v>
      </x:c>
      <x:c r="H4" s="49" t="str">
        <x:v>高</x:v>
      </x:c>
      <x:c r="I4" s="49" t="str">
        <x:v>行政籌備</x:v>
      </x:c>
      <x:c r="J4" s="55" t="n">
        <x:v>46234</x:v>
      </x:c>
      <x:c r="K4" s="49" t="str">
        <x:v>待開始</x:v>
      </x:c>
      <x:c r="L4" s="55"/>
      <x:c r="M4" s="49" t="str"/>
      <x:c r="N4" s="50" t="str"/>
    </x:row>
    <x:row r="5" ht="36" customHeight="1">
      <x:c r="A5" s="48" t="str">
        <x:v>P1-04</x:v>
      </x:c>
      <x:c r="B5" s="49" t="str">
        <x:v>第一期</x:v>
      </x:c>
      <x:c r="C5" s="49" t="str">
        <x:v>115年6月-7月</x:v>
      </x:c>
      <x:c r="D5" s="49" t="str">
        <x:v>組織與資金</x:v>
      </x:c>
      <x:c r="E5" s="49" t="str">
        <x:v>建立核心籌備團隊</x:v>
      </x:c>
      <x:c r="F5" s="49" t="str">
        <x:v>由計畫主持人召集核心籌備團隊，明確分工與每週回報節奏。</x:v>
      </x:c>
      <x:c r="G5" s="49" t="str">
        <x:v>分工表、例會紀錄</x:v>
      </x:c>
      <x:c r="H5" s="49" t="str">
        <x:v>高</x:v>
      </x:c>
      <x:c r="I5" s="49" t="str">
        <x:v>計畫主持人</x:v>
      </x:c>
      <x:c r="J5" s="55" t="n">
        <x:v>46234</x:v>
      </x:c>
      <x:c r="K5" s="49" t="str">
        <x:v>待開始</x:v>
      </x:c>
      <x:c r="L5" s="55"/>
      <x:c r="M5" s="49" t="str"/>
      <x:c r="N5" s="50" t="str"/>
    </x:row>
    <x:row r="6" ht="36" customHeight="1">
      <x:c r="A6" s="48" t="str">
        <x:v>P1-05</x:v>
      </x:c>
      <x:c r="B6" s="49" t="str">
        <x:v>第一期</x:v>
      </x:c>
      <x:c r="C6" s="49" t="str">
        <x:v>115年6月-7月</x:v>
      </x:c>
      <x:c r="D6" s="49" t="str">
        <x:v>組織與資金</x:v>
      </x:c>
      <x:c r="E6" s="49" t="str">
        <x:v>確認表件5初期資金如期到位</x:v>
      </x:c>
      <x:c r="F6" s="49" t="str">
        <x:v>完成入帳確認，並開設機構籌備處專戶或指定管理帳戶。</x:v>
      </x:c>
      <x:c r="G6" s="49" t="str">
        <x:v>入帳證明、專戶資料</x:v>
      </x:c>
      <x:c r="H6" s="49" t="str">
        <x:v>高</x:v>
      </x:c>
      <x:c r="I6" s="49" t="str">
        <x:v>財務籌備</x:v>
      </x:c>
      <x:c r="J6" s="55" t="n">
        <x:v>46234</x:v>
      </x:c>
      <x:c r="K6" s="49" t="str">
        <x:v>待開始</x:v>
      </x:c>
      <x:c r="L6" s="55"/>
      <x:c r="M6" s="49" t="str"/>
      <x:c r="N6" s="50" t="str"/>
    </x:row>
    <x:row r="7" ht="36" customHeight="1">
      <x:c r="A7" s="48" t="str">
        <x:v>P1-06</x:v>
      </x:c>
      <x:c r="B7" s="49" t="str">
        <x:v>第一期</x:v>
      </x:c>
      <x:c r="C7" s="49" t="str">
        <x:v>115年6月-7月</x:v>
      </x:c>
      <x:c r="D7" s="49" t="str">
        <x:v>場地與法規</x:v>
      </x:c>
      <x:c r="E7" s="49" t="str">
        <x:v>啟動教學場地與室內裝修設計圖規劃</x:v>
      </x:c>
      <x:c r="F7" s="49" t="str">
        <x:v>依表件3、表件4場地內容，完成空間配置與裝修設計初稿。</x:v>
      </x:c>
      <x:c r="G7" s="49" t="str">
        <x:v>設計圖、需求清單</x:v>
      </x:c>
      <x:c r="H7" s="49" t="str">
        <x:v>高</x:v>
      </x:c>
      <x:c r="I7" s="49" t="str">
        <x:v>總務/建築設計窗口</x:v>
      </x:c>
      <x:c r="J7" s="55" t="n">
        <x:v>46234</x:v>
      </x:c>
      <x:c r="K7" s="49" t="str">
        <x:v>待開始</x:v>
      </x:c>
      <x:c r="L7" s="55"/>
      <x:c r="M7" s="49" t="str"/>
      <x:c r="N7" s="50" t="str"/>
    </x:row>
    <x:row r="8" ht="36" customHeight="1">
      <x:c r="A8" s="48" t="str">
        <x:v>P1-07</x:v>
      </x:c>
      <x:c r="B8" s="49" t="str">
        <x:v>第一期</x:v>
      </x:c>
      <x:c r="C8" s="49" t="str">
        <x:v>115年6月-7月</x:v>
      </x:c>
      <x:c r="D8" s="49" t="str">
        <x:v>制度文件</x:v>
      </x:c>
      <x:c r="E8" s="49" t="str">
        <x:v>草擬組織章程與聘任薪酬制度</x:v>
      </x:c>
      <x:c r="F8" s="49" t="str">
        <x:v>完成組織章程草案、教職員工聘任與敘薪辦法草案。</x:v>
      </x:c>
      <x:c r="G8" s="49" t="str">
        <x:v>章程草案、薪酬辦法草案</x:v>
      </x:c>
      <x:c r="H8" s="49" t="str">
        <x:v>中</x:v>
      </x:c>
      <x:c r="I8" s="49" t="str">
        <x:v>行政籌備/人事</x:v>
      </x:c>
      <x:c r="J8" s="55" t="n">
        <x:v>46234</x:v>
      </x:c>
      <x:c r="K8" s="49" t="str">
        <x:v>待開始</x:v>
      </x:c>
      <x:c r="L8" s="55"/>
      <x:c r="M8" s="49" t="str"/>
      <x:c r="N8" s="50" t="str"/>
    </x:row>
    <x:row r="9" ht="36" customHeight="1">
      <x:c r="A9" s="48" t="str">
        <x:v>P2-01</x:v>
      </x:c>
      <x:c r="B9" s="49" t="str">
        <x:v>第二期</x:v>
      </x:c>
      <x:c r="C9" s="49" t="str">
        <x:v>115年8月-9月</x:v>
      </x:c>
      <x:c r="D9" s="49" t="str">
        <x:v>人員招募</x:v>
      </x:c>
      <x:c r="E9" s="49" t="str">
        <x:v>發布第一階段教師與行政人員甄選簡章</x:v>
      </x:c>
      <x:c r="F9" s="49" t="str">
        <x:v>依表件2師資規劃發布學務、教務、總務與教師甄選簡章。</x:v>
      </x:c>
      <x:c r="G9" s="49" t="str">
        <x:v>甄選簡章、公告截圖</x:v>
      </x:c>
      <x:c r="H9" s="49" t="str">
        <x:v>高</x:v>
      </x:c>
      <x:c r="I9" s="49" t="str">
        <x:v>人事/教務</x:v>
      </x:c>
      <x:c r="J9" s="55" t="n">
        <x:v>46295</x:v>
      </x:c>
      <x:c r="K9" s="49" t="str">
        <x:v>待開始</x:v>
      </x:c>
      <x:c r="L9" s="55"/>
      <x:c r="M9" s="49" t="str"/>
      <x:c r="N9" s="50" t="str"/>
    </x:row>
    <x:row r="10" ht="36" customHeight="1">
      <x:c r="A10" s="48" t="str">
        <x:v>P2-02</x:v>
      </x:c>
      <x:c r="B10" s="49" t="str">
        <x:v>第二期</x:v>
      </x:c>
      <x:c r="C10" s="49" t="str">
        <x:v>115年8月-9月</x:v>
      </x:c>
      <x:c r="D10" s="49" t="str">
        <x:v>人員招募</x:v>
      </x:c>
      <x:c r="E10" s="49" t="str">
        <x:v>辦理履歷篩選、理念面談與試教審查</x:v>
      </x:c>
      <x:c r="F10" s="49" t="str">
        <x:v>建立評分規準，確認候選人時間投入、教育理念與機構理念契合。</x:v>
      </x:c>
      <x:c r="G10" s="49" t="str">
        <x:v>評分表、面談紀錄、試教紀錄</x:v>
      </x:c>
      <x:c r="H10" s="49" t="str">
        <x:v>高</x:v>
      </x:c>
      <x:c r="I10" s="49" t="str">
        <x:v>人事/教務</x:v>
      </x:c>
      <x:c r="J10" s="55" t="n">
        <x:v>46295</x:v>
      </x:c>
      <x:c r="K10" s="49" t="str">
        <x:v>待開始</x:v>
      </x:c>
      <x:c r="L10" s="55"/>
      <x:c r="M10" s="49" t="str"/>
      <x:c r="N10" s="50" t="str"/>
    </x:row>
    <x:row r="11" ht="36" customHeight="1">
      <x:c r="A11" s="48" t="str">
        <x:v>P2-03</x:v>
      </x:c>
      <x:c r="B11" s="49" t="str">
        <x:v>第二期</x:v>
      </x:c>
      <x:c r="C11" s="49" t="str">
        <x:v>115年8月-9月</x:v>
      </x:c>
      <x:c r="D11" s="49" t="str">
        <x:v>營隊籌備</x:v>
      </x:c>
      <x:c r="E11" s="49" t="str">
        <x:v>規劃116年1月寒假營隊與10月宣傳文宣</x:v>
      </x:c>
      <x:c r="F11" s="49" t="str">
        <x:v>共同構思寒假營隊主題，並於115年10月推出營隊活動文宣。</x:v>
      </x:c>
      <x:c r="G11" s="49" t="str">
        <x:v>營隊企劃、文宣稿</x:v>
      </x:c>
      <x:c r="H11" s="49" t="str">
        <x:v>中</x:v>
      </x:c>
      <x:c r="I11" s="49" t="str">
        <x:v>教務/招生行銷</x:v>
      </x:c>
      <x:c r="J11" s="55" t="n">
        <x:v>46295</x:v>
      </x:c>
      <x:c r="K11" s="49" t="str">
        <x:v>待開始</x:v>
      </x:c>
      <x:c r="L11" s="55"/>
      <x:c r="M11" s="49" t="str"/>
      <x:c r="N11" s="50" t="str"/>
    </x:row>
    <x:row r="12" ht="36" customHeight="1">
      <x:c r="A12" s="48" t="str">
        <x:v>P2-04</x:v>
      </x:c>
      <x:c r="B12" s="49" t="str">
        <x:v>第二期</x:v>
      </x:c>
      <x:c r="C12" s="49" t="str">
        <x:v>115年8月-9月</x:v>
      </x:c>
      <x:c r="D12" s="49" t="str">
        <x:v>場地與法規</x:v>
      </x:c>
      <x:c r="E12" s="49" t="str">
        <x:v>完成室內裝修設計圖送市府審查</x:v>
      </x:c>
      <x:c r="F12" s="49" t="str">
        <x:v>如需變更使用執照或室內裝修許可，確認送件與補件流程。</x:v>
      </x:c>
      <x:c r="G12" s="49" t="str">
        <x:v>送審收件證明、補件紀錄</x:v>
      </x:c>
      <x:c r="H12" s="49" t="str">
        <x:v>高</x:v>
      </x:c>
      <x:c r="I12" s="49" t="str">
        <x:v>總務/建築設計窗口</x:v>
      </x:c>
      <x:c r="J12" s="55" t="n">
        <x:v>46295</x:v>
      </x:c>
      <x:c r="K12" s="49" t="str">
        <x:v>待開始</x:v>
      </x:c>
      <x:c r="L12" s="55"/>
      <x:c r="M12" s="49" t="str"/>
      <x:c r="N12" s="50" t="str"/>
    </x:row>
    <x:row r="13" ht="36" customHeight="1">
      <x:c r="A13" s="48" t="str">
        <x:v>P2-05</x:v>
      </x:c>
      <x:c r="B13" s="49" t="str">
        <x:v>第二期</x:v>
      </x:c>
      <x:c r="C13" s="49" t="str">
        <x:v>115年8月-9月</x:v>
      </x:c>
      <x:c r="D13" s="49" t="str">
        <x:v>場地與法規</x:v>
      </x:c>
      <x:c r="E13" s="49" t="str">
        <x:v>取得裝修施工許可並正式發包動工</x:v>
      </x:c>
      <x:c r="F13" s="49" t="str">
        <x:v>許可取得後完成承包商遴選、合約簽訂與施工時程表。</x:v>
      </x:c>
      <x:c r="G13" s="49" t="str">
        <x:v>施工許可、合約、工期表</x:v>
      </x:c>
      <x:c r="H13" s="49" t="str">
        <x:v>高</x:v>
      </x:c>
      <x:c r="I13" s="49" t="str">
        <x:v>總務</x:v>
      </x:c>
      <x:c r="J13" s="55" t="n">
        <x:v>46295</x:v>
      </x:c>
      <x:c r="K13" s="49" t="str">
        <x:v>待開始</x:v>
      </x:c>
      <x:c r="L13" s="55"/>
      <x:c r="M13" s="49" t="str"/>
      <x:c r="N13" s="50" t="str"/>
    </x:row>
    <x:row r="14" ht="36" customHeight="1">
      <x:c r="A14" s="48" t="str">
        <x:v>P2-06</x:v>
      </x:c>
      <x:c r="B14" s="49" t="str">
        <x:v>第二期</x:v>
      </x:c>
      <x:c r="C14" s="49" t="str">
        <x:v>115年8月-9月</x:v>
      </x:c>
      <x:c r="D14" s="49" t="str">
        <x:v>理念倡議</x:v>
      </x:c>
      <x:c r="E14" s="49" t="str">
        <x:v>建立官方網站與社群平台</x:v>
      </x:c>
      <x:c r="F14" s="49" t="str">
        <x:v>施工期間先建立官方網站與社群平台，形成固定對外溝通管道。</x:v>
      </x:c>
      <x:c r="G14" s="49" t="str">
        <x:v>網站、社群頁面、內容排程</x:v>
      </x:c>
      <x:c r="H14" s="49" t="str">
        <x:v>中</x:v>
      </x:c>
      <x:c r="I14" s="49" t="str">
        <x:v>招生行銷/資訊</x:v>
      </x:c>
      <x:c r="J14" s="55" t="n">
        <x:v>46295</x:v>
      </x:c>
      <x:c r="K14" s="49" t="str">
        <x:v>待開始</x:v>
      </x:c>
      <x:c r="L14" s="55"/>
      <x:c r="M14" s="49" t="str"/>
      <x:c r="N14" s="50" t="str"/>
    </x:row>
    <x:row r="15" ht="36" customHeight="1">
      <x:c r="A15" s="48" t="str">
        <x:v>P2-07</x:v>
      </x:c>
      <x:c r="B15" s="49" t="str">
        <x:v>第二期</x:v>
      </x:c>
      <x:c r="C15" s="49" t="str">
        <x:v>115年8月-9月</x:v>
      </x:c>
      <x:c r="D15" s="49" t="str">
        <x:v>理念倡議</x:v>
      </x:c>
      <x:c r="E15" s="49" t="str">
        <x:v>舉辦首場教育理念分享會</x:v>
      </x:c>
      <x:c r="F15" s="49" t="str">
        <x:v>以非正式招生為定位，傳遞核心價值與課程特色，收集家長回饋。</x:v>
      </x:c>
      <x:c r="G15" s="49" t="str">
        <x:v>分享會簡報、簽到表、回饋表</x:v>
      </x:c>
      <x:c r="H15" s="49" t="str">
        <x:v>中</x:v>
      </x:c>
      <x:c r="I15" s="49" t="str">
        <x:v>招生行銷/教務</x:v>
      </x:c>
      <x:c r="J15" s="55" t="n">
        <x:v>46295</x:v>
      </x:c>
      <x:c r="K15" s="49" t="str">
        <x:v>待開始</x:v>
      </x:c>
      <x:c r="L15" s="55"/>
      <x:c r="M15" s="49" t="str"/>
      <x:c r="N15" s="50" t="str"/>
    </x:row>
    <x:row r="16" ht="36" customHeight="1">
      <x:c r="A16" s="48" t="str">
        <x:v>P2-08</x:v>
      </x:c>
      <x:c r="B16" s="49" t="str">
        <x:v>第二期</x:v>
      </x:c>
      <x:c r="C16" s="49" t="str">
        <x:v>115年8月-9月</x:v>
      </x:c>
      <x:c r="D16" s="49" t="str">
        <x:v>制度文件</x:v>
      </x:c>
      <x:c r="E16" s="49" t="str">
        <x:v>定案行政管理規章與財務報支流程</x:v>
      </x:c>
      <x:c r="F16" s="49" t="str">
        <x:v>召開籌備會議，完成行政管理規章、財務報支流程與學生學籍管理辦法。</x:v>
      </x:c>
      <x:c r="G16" s="49" t="str">
        <x:v>制度文件、會議決議</x:v>
      </x:c>
      <x:c r="H16" s="49" t="str">
        <x:v>高</x:v>
      </x:c>
      <x:c r="I16" s="49" t="str">
        <x:v>行政/財務/教務</x:v>
      </x:c>
      <x:c r="J16" s="55" t="n">
        <x:v>46295</x:v>
      </x:c>
      <x:c r="K16" s="49" t="str">
        <x:v>待開始</x:v>
      </x:c>
      <x:c r="L16" s="55"/>
      <x:c r="M16" s="49" t="str"/>
      <x:c r="N16" s="50" t="str"/>
    </x:row>
    <x:row r="17" ht="36" customHeight="1">
      <x:c r="A17" s="48" t="str">
        <x:v>P3-01</x:v>
      </x:c>
      <x:c r="B17" s="49" t="str">
        <x:v>第三期</x:v>
      </x:c>
      <x:c r="C17" s="49" t="str">
        <x:v>115年10月-11月</x:v>
      </x:c>
      <x:c r="D17" s="49" t="str">
        <x:v>人員招募</x:v>
      </x:c>
      <x:c r="E17" s="49" t="str">
        <x:v>完成第一線教職員面試與錄取通知</x:v>
      </x:c>
      <x:c r="F17" s="49" t="str">
        <x:v>完成第一線教職員錄取通知並簽訂聘約。</x:v>
      </x:c>
      <x:c r="G17" s="49" t="str">
        <x:v>錄取名冊、聘約</x:v>
      </x:c>
      <x:c r="H17" s="49" t="str">
        <x:v>高</x:v>
      </x:c>
      <x:c r="I17" s="49" t="str">
        <x:v>人事</x:v>
      </x:c>
      <x:c r="J17" s="55" t="n">
        <x:v>46356</x:v>
      </x:c>
      <x:c r="K17" s="49" t="str">
        <x:v>待開始</x:v>
      </x:c>
      <x:c r="L17" s="55"/>
      <x:c r="M17" s="49" t="str"/>
      <x:c r="N17" s="50" t="str"/>
    </x:row>
    <x:row r="18" ht="36" customHeight="1">
      <x:c r="A18" s="48" t="str">
        <x:v>P3-02</x:v>
      </x:c>
      <x:c r="B18" s="49" t="str">
        <x:v>第三期</x:v>
      </x:c>
      <x:c r="C18" s="49" t="str">
        <x:v>115年10月-11月</x:v>
      </x:c>
      <x:c r="D18" s="49" t="str">
        <x:v>人員培訓</x:v>
      </x:c>
      <x:c r="E18" s="49" t="str">
        <x:v>安排準教職員實體相見歡或線上交流</x:v>
      </x:c>
      <x:c r="F18" s="49" t="str">
        <x:v>寄送機構核心理念先修讀物，作為寒假培訓前置準備。</x:v>
      </x:c>
      <x:c r="G18" s="49" t="str">
        <x:v>交流紀錄、先修資料清單</x:v>
      </x:c>
      <x:c r="H18" s="49" t="str">
        <x:v>中</x:v>
      </x:c>
      <x:c r="I18" s="49" t="str">
        <x:v>教務/人事</x:v>
      </x:c>
      <x:c r="J18" s="55" t="n">
        <x:v>46356</x:v>
      </x:c>
      <x:c r="K18" s="49" t="str">
        <x:v>待開始</x:v>
      </x:c>
      <x:c r="L18" s="55"/>
      <x:c r="M18" s="49" t="str"/>
      <x:c r="N18" s="50" t="str"/>
    </x:row>
    <x:row r="19" ht="36" customHeight="1">
      <x:c r="A19" s="48" t="str">
        <x:v>P3-03</x:v>
      </x:c>
      <x:c r="B19" s="49" t="str">
        <x:v>第三期</x:v>
      </x:c>
      <x:c r="C19" s="49" t="str">
        <x:v>115年10月-11月</x:v>
      </x:c>
      <x:c r="D19" s="49" t="str">
        <x:v>場地與法規</x:v>
      </x:c>
      <x:c r="E19" s="49" t="str">
        <x:v>辦理裝潢工程期中驗收</x:v>
      </x:c>
      <x:c r="F19" s="49" t="str">
        <x:v>檢視消防管線、無障礙設施與緊急逃生動線是否確實按圖施工。</x:v>
      </x:c>
      <x:c r="G19" s="49" t="str">
        <x:v>期中驗收表、照片紀錄</x:v>
      </x:c>
      <x:c r="H19" s="49" t="str">
        <x:v>高</x:v>
      </x:c>
      <x:c r="I19" s="49" t="str">
        <x:v>總務/工務</x:v>
      </x:c>
      <x:c r="J19" s="55" t="n">
        <x:v>46356</x:v>
      </x:c>
      <x:c r="K19" s="49" t="str">
        <x:v>待開始</x:v>
      </x:c>
      <x:c r="L19" s="55"/>
      <x:c r="M19" s="49" t="str"/>
      <x:c r="N19" s="50" t="str"/>
    </x:row>
    <x:row r="20" ht="36" customHeight="1">
      <x:c r="A20" s="48" t="str">
        <x:v>P3-04</x:v>
      </x:c>
      <x:c r="B20" s="49" t="str">
        <x:v>第三期</x:v>
      </x:c>
      <x:c r="C20" s="49" t="str">
        <x:v>115年10月-11月</x:v>
      </x:c>
      <x:c r="D20" s="49" t="str">
        <x:v>設備採購</x:v>
      </x:c>
      <x:c r="E20" s="49" t="str">
        <x:v>盤點第一階段教學設備採購清單</x:v>
      </x:c>
      <x:c r="F20" s="49" t="str">
        <x:v>列出課桌椅、實驗器材、資訊軟硬體設備、圖書等採購項目。</x:v>
      </x:c>
      <x:c r="G20" s="49" t="str">
        <x:v>採購清單、預算表</x:v>
      </x:c>
      <x:c r="H20" s="49" t="str">
        <x:v>高</x:v>
      </x:c>
      <x:c r="I20" s="49" t="str">
        <x:v>總務/教務/資訊</x:v>
      </x:c>
      <x:c r="J20" s="55" t="n">
        <x:v>46356</x:v>
      </x:c>
      <x:c r="K20" s="49" t="str">
        <x:v>待開始</x:v>
      </x:c>
      <x:c r="L20" s="55"/>
      <x:c r="M20" s="49" t="str"/>
      <x:c r="N20" s="50" t="str"/>
    </x:row>
    <x:row r="21" ht="36" customHeight="1">
      <x:c r="A21" s="48" t="str">
        <x:v>P3-05</x:v>
      </x:c>
      <x:c r="B21" s="49" t="str">
        <x:v>第三期</x:v>
      </x:c>
      <x:c r="C21" s="49" t="str">
        <x:v>115年10月-11月</x:v>
      </x:c>
      <x:c r="D21" s="49" t="str">
        <x:v>設備採購</x:v>
      </x:c>
      <x:c r="E21" s="49" t="str">
        <x:v>完成教學設備廠商比價與採購</x:v>
      </x:c>
      <x:c r="F21" s="49" t="str">
        <x:v>依採購清單進行廠商比價、議價與下單。</x:v>
      </x:c>
      <x:c r="G21" s="49" t="str">
        <x:v>比價單、採購單</x:v>
      </x:c>
      <x:c r="H21" s="49" t="str">
        <x:v>中</x:v>
      </x:c>
      <x:c r="I21" s="49" t="str">
        <x:v>總務/財務</x:v>
      </x:c>
      <x:c r="J21" s="55" t="n">
        <x:v>46356</x:v>
      </x:c>
      <x:c r="K21" s="49" t="str">
        <x:v>待開始</x:v>
      </x:c>
      <x:c r="L21" s="55"/>
      <x:c r="M21" s="49" t="str"/>
      <x:c r="N21" s="50" t="str"/>
    </x:row>
    <x:row r="22" ht="36" customHeight="1">
      <x:c r="A22" s="48" t="str">
        <x:v>P3-06</x:v>
      </x:c>
      <x:c r="B22" s="49" t="str">
        <x:v>第三期</x:v>
      </x:c>
      <x:c r="C22" s="49" t="str">
        <x:v>115年10月-11月</x:v>
      </x:c>
      <x:c r="D22" s="49" t="str">
        <x:v>立案申請</x:v>
      </x:c>
      <x:c r="E22" s="49" t="str">
        <x:v>備妥機構立案與實地會勘文件</x:v>
      </x:c>
      <x:c r="F22" s="49" t="str">
        <x:v>備妥計畫核准函、建築物公安/消防合格證明、負責人及法人證明等表件6、7、8文件。</x:v>
      </x:c>
      <x:c r="G22" s="49" t="str">
        <x:v>立案文件包、檢核清單</x:v>
      </x:c>
      <x:c r="H22" s="49" t="str">
        <x:v>高</x:v>
      </x:c>
      <x:c r="I22" s="49" t="str">
        <x:v>行政籌備</x:v>
      </x:c>
      <x:c r="J22" s="55" t="n">
        <x:v>46356</x:v>
      </x:c>
      <x:c r="K22" s="49" t="str">
        <x:v>待開始</x:v>
      </x:c>
      <x:c r="L22" s="55"/>
      <x:c r="M22" s="49" t="str"/>
      <x:c r="N22" s="50" t="str"/>
    </x:row>
    <x:row r="23" ht="36" customHeight="1">
      <x:c r="A23" s="48" t="str">
        <x:v>P3-07</x:v>
      </x:c>
      <x:c r="B23" s="49" t="str">
        <x:v>第三期</x:v>
      </x:c>
      <x:c r="C23" s="49" t="str">
        <x:v>115年10月-11月</x:v>
      </x:c>
      <x:c r="D23" s="49" t="str">
        <x:v>立案申請</x:v>
      </x:c>
      <x:c r="E23" s="49" t="str">
        <x:v>向教育局申請機構立案與實地會勘</x:v>
      </x:c>
      <x:c r="F23" s="49" t="str">
        <x:v>最遲年底前完成立案申請，利於後續營隊與招生活動辦理。</x:v>
      </x:c>
      <x:c r="G23" s="49" t="str">
        <x:v>申請收件證明、會勘通知</x:v>
      </x:c>
      <x:c r="H23" s="49" t="str">
        <x:v>高</x:v>
      </x:c>
      <x:c r="I23" s="49" t="str">
        <x:v>行政籌備</x:v>
      </x:c>
      <x:c r="J23" s="55" t="n">
        <x:v>46356</x:v>
      </x:c>
      <x:c r="K23" s="49" t="str">
        <x:v>待開始</x:v>
      </x:c>
      <x:c r="L23" s="55"/>
      <x:c r="M23" s="49" t="str"/>
      <x:c r="N23" s="50" t="str"/>
    </x:row>
    <x:row r="24" ht="36" customHeight="1">
      <x:c r="A24" s="48" t="str">
        <x:v>P4-01</x:v>
      </x:c>
      <x:c r="B24" s="49" t="str">
        <x:v>第四期</x:v>
      </x:c>
      <x:c r="C24" s="49" t="str">
        <x:v>115年12月-116年1月</x:v>
      </x:c>
      <x:c r="D24" s="49" t="str">
        <x:v>營隊試辦</x:v>
      </x:c>
      <x:c r="E24" s="49" t="str">
        <x:v>辦理2-3梯次睿思特色冬令營</x:v>
      </x:c>
      <x:c r="F24" s="49" t="str">
        <x:v>依低/中/高年級分齡辦理，作為教案實戰測試與招生前哨站。</x:v>
      </x:c>
      <x:c r="G24" s="49" t="str">
        <x:v>營隊名冊、課表、成果紀錄</x:v>
      </x:c>
      <x:c r="H24" s="49" t="str">
        <x:v>高</x:v>
      </x:c>
      <x:c r="I24" s="49" t="str">
        <x:v>教務/招生行銷</x:v>
      </x:c>
      <x:c r="J24" s="55" t="n">
        <x:v>46418</x:v>
      </x:c>
      <x:c r="K24" s="49" t="str">
        <x:v>待開始</x:v>
      </x:c>
      <x:c r="L24" s="55"/>
      <x:c r="M24" s="49" t="str"/>
      <x:c r="N24" s="50" t="str"/>
    </x:row>
    <x:row r="25" ht="36" customHeight="1">
      <x:c r="A25" s="48" t="str">
        <x:v>P4-02</x:v>
      </x:c>
      <x:c r="B25" s="49" t="str">
        <x:v>第四期</x:v>
      </x:c>
      <x:c r="C25" s="49" t="str">
        <x:v>115年12月-116年1月</x:v>
      </x:c>
      <x:c r="D25" s="49" t="str">
        <x:v>招生宣傳</x:v>
      </x:c>
      <x:c r="E25" s="49" t="str">
        <x:v>將營隊小成果轉化為宣傳素材</x:v>
      </x:c>
      <x:c r="F25" s="49" t="str">
        <x:v>透過課程小成果展宣傳，讓家長與學生親身體驗教學模式。</x:v>
      </x:c>
      <x:c r="G25" s="49" t="str">
        <x:v>照片影片、社群貼文、成果展紀錄</x:v>
      </x:c>
      <x:c r="H25" s="49" t="str">
        <x:v>中</x:v>
      </x:c>
      <x:c r="I25" s="49" t="str">
        <x:v>招生行銷/教務</x:v>
      </x:c>
      <x:c r="J25" s="55" t="n">
        <x:v>46418</x:v>
      </x:c>
      <x:c r="K25" s="49" t="str">
        <x:v>待開始</x:v>
      </x:c>
      <x:c r="L25" s="55"/>
      <x:c r="M25" s="49" t="str"/>
      <x:c r="N25" s="50" t="str"/>
    </x:row>
    <x:row r="26" ht="36" customHeight="1">
      <x:c r="A26" s="48" t="str">
        <x:v>P4-03</x:v>
      </x:c>
      <x:c r="B26" s="49" t="str">
        <x:v>第四期</x:v>
      </x:c>
      <x:c r="C26" s="49" t="str">
        <x:v>115年12月-116年1月</x:v>
      </x:c>
      <x:c r="D26" s="49" t="str">
        <x:v>師資培訓</x:v>
      </x:c>
      <x:c r="E26" s="49" t="str">
        <x:v>辦理第一階段新進教職員寒假共識營</x:v>
      </x:c>
      <x:c r="F26" s="49" t="str">
        <x:v>聚焦實驗教育哲學、跨領域協同教學實作、班級經營與非暴力溝通。</x:v>
      </x:c>
      <x:c r="G26" s="49" t="str">
        <x:v>培訓課表、簽到表、回饋表</x:v>
      </x:c>
      <x:c r="H26" s="49" t="str">
        <x:v>高</x:v>
      </x:c>
      <x:c r="I26" s="49" t="str">
        <x:v>教務/人事</x:v>
      </x:c>
      <x:c r="J26" s="55" t="n">
        <x:v>46418</x:v>
      </x:c>
      <x:c r="K26" s="49" t="str">
        <x:v>待開始</x:v>
      </x:c>
      <x:c r="L26" s="55"/>
      <x:c r="M26" s="49" t="str"/>
      <x:c r="N26" s="50" t="str"/>
    </x:row>
    <x:row r="27" ht="36" customHeight="1">
      <x:c r="A27" s="48" t="str">
        <x:v>P4-04</x:v>
      </x:c>
      <x:c r="B27" s="49" t="str">
        <x:v>第四期</x:v>
      </x:c>
      <x:c r="C27" s="49" t="str">
        <x:v>115年12月-116年1月</x:v>
      </x:c>
      <x:c r="D27" s="49" t="str">
        <x:v>場地與法規</x:v>
      </x:c>
      <x:c r="E27" s="49" t="str">
        <x:v>完成裝潢內部總驗收</x:v>
      </x:c>
      <x:c r="F27" s="49" t="str">
        <x:v>向市府申請並取得建築物公安及消防合格證明，作為立案備妥要件。</x:v>
      </x:c>
      <x:c r="G27" s="49" t="str">
        <x:v>總驗收表、公安/消防證明</x:v>
      </x:c>
      <x:c r="H27" s="49" t="str">
        <x:v>高</x:v>
      </x:c>
      <x:c r="I27" s="49" t="str">
        <x:v>總務</x:v>
      </x:c>
      <x:c r="J27" s="55" t="n">
        <x:v>46418</x:v>
      </x:c>
      <x:c r="K27" s="49" t="str">
        <x:v>待開始</x:v>
      </x:c>
      <x:c r="L27" s="55"/>
      <x:c r="M27" s="49" t="str"/>
      <x:c r="N27" s="50" t="str"/>
    </x:row>
    <x:row r="28" ht="36" customHeight="1">
      <x:c r="A28" s="48" t="str">
        <x:v>P5-01</x:v>
      </x:c>
      <x:c r="B28" s="49" t="str">
        <x:v>第四期</x:v>
      </x:c>
      <x:c r="C28" s="49" t="str">
        <x:v>115年12月-116年1月</x:v>
      </x:c>
      <x:c r="D28" s="49" t="str">
        <x:v>立案申請</x:v>
      </x:c>
      <x:c r="E28" s="49" t="str">
        <x:v>遞交正式立案申請</x:v>
      </x:c>
      <x:c r="F28" s="49" t="str">
        <x:v>完成申請送件，追蹤教育局補件、會勘與審查進度。</x:v>
      </x:c>
      <x:c r="G28" s="49" t="str">
        <x:v>申請文件、收件證明、追蹤表</x:v>
      </x:c>
      <x:c r="H28" s="49" t="str">
        <x:v>高</x:v>
      </x:c>
      <x:c r="I28" s="49" t="str">
        <x:v>行政籌備</x:v>
      </x:c>
      <x:c r="J28" s="55" t="n">
        <x:v>46371</x:v>
      </x:c>
      <x:c r="K28" s="49" t="str">
        <x:v>待開始</x:v>
      </x:c>
      <x:c r="L28" s="55"/>
      <x:c r="M28" s="49" t="str"/>
      <x:c r="N28" s="50" t="str"/>
    </x:row>
    <x:row r="29" ht="36" customHeight="1">
      <x:c r="A29" s="48" t="str">
        <x:v>P5-02</x:v>
      </x:c>
      <x:c r="B29" s="49" t="str">
        <x:v>第五期</x:v>
      </x:c>
      <x:c r="C29" s="49" t="str">
        <x:v>116年2月-3月</x:v>
      </x:c>
      <x:c r="D29" s="49" t="str">
        <x:v>招生作業</x:v>
      </x:c>
      <x:c r="E29" s="49" t="str">
        <x:v>舉辦大型正式招生說明會</x:v>
      </x:c>
      <x:c r="F29" s="49" t="str">
        <x:v>詳細說明入學條件、課程架構與收費標準，開放家長學生預約入學面談。</x:v>
      </x:c>
      <x:c r="G29" s="49" t="str">
        <x:v>說明會簡報、簽到表、預約名單</x:v>
      </x:c>
      <x:c r="H29" s="49" t="str">
        <x:v>高</x:v>
      </x:c>
      <x:c r="I29" s="49" t="str">
        <x:v>招生行銷/教務</x:v>
      </x:c>
      <x:c r="J29" s="55" t="n">
        <x:v>46477</x:v>
      </x:c>
      <x:c r="K29" s="49" t="str">
        <x:v>待開始</x:v>
      </x:c>
      <x:c r="L29" s="55"/>
      <x:c r="M29" s="49" t="str"/>
      <x:c r="N29" s="50" t="str"/>
    </x:row>
    <x:row r="30" ht="36" customHeight="1">
      <x:c r="A30" s="48" t="str">
        <x:v>P5-03</x:v>
      </x:c>
      <x:c r="B30" s="49" t="str">
        <x:v>第五期</x:v>
      </x:c>
      <x:c r="C30" s="49" t="str">
        <x:v>116年2月-3月</x:v>
      </x:c>
      <x:c r="D30" s="49" t="str">
        <x:v>設備建置</x:v>
      </x:c>
      <x:c r="E30" s="49" t="str">
        <x:v>完成教學設備、辦公家具與伺服器進駐</x:v>
      </x:c>
      <x:c r="F30" s="49" t="str">
        <x:v>所有採購設備到位，完成安裝測試。</x:v>
      </x:c>
      <x:c r="G30" s="49" t="str">
        <x:v>設備驗收表、資產清冊</x:v>
      </x:c>
      <x:c r="H30" s="49" t="str">
        <x:v>高</x:v>
      </x:c>
      <x:c r="I30" s="49" t="str">
        <x:v>總務/資訊</x:v>
      </x:c>
      <x:c r="J30" s="55" t="n">
        <x:v>46477</x:v>
      </x:c>
      <x:c r="K30" s="49" t="str">
        <x:v>待開始</x:v>
      </x:c>
      <x:c r="L30" s="55"/>
      <x:c r="M30" s="49" t="str"/>
      <x:c r="N30" s="50" t="str"/>
    </x:row>
    <x:row r="31" ht="36" customHeight="1">
      <x:c r="A31" s="48" t="str">
        <x:v>P6-01</x:v>
      </x:c>
      <x:c r="B31" s="49" t="str">
        <x:v>第六期</x:v>
      </x:c>
      <x:c r="C31" s="49" t="str">
        <x:v>116年4月-5月</x:v>
      </x:c>
      <x:c r="D31" s="49" t="str">
        <x:v>面談錄取</x:v>
      </x:c>
      <x:c r="E31" s="49" t="str">
        <x:v>辦理新生入學家庭面談</x:v>
      </x:c>
      <x:c r="F31" s="49" t="str">
        <x:v>確認家長教養理念與機構契合，建立面談紀錄。</x:v>
      </x:c>
      <x:c r="G31" s="49" t="str">
        <x:v>面談紀錄、評估表</x:v>
      </x:c>
      <x:c r="H31" s="49" t="str">
        <x:v>高</x:v>
      </x:c>
      <x:c r="I31" s="49" t="str">
        <x:v>招生行銷/教務</x:v>
      </x:c>
      <x:c r="J31" s="55" t="n">
        <x:v>46538</x:v>
      </x:c>
      <x:c r="K31" s="49" t="str">
        <x:v>待開始</x:v>
      </x:c>
      <x:c r="L31" s="55"/>
      <x:c r="M31" s="49" t="str"/>
      <x:c r="N31" s="50" t="str"/>
    </x:row>
    <x:row r="32" ht="36" customHeight="1">
      <x:c r="A32" s="48" t="str">
        <x:v>P6-02</x:v>
      </x:c>
      <x:c r="B32" s="49" t="str">
        <x:v>第六期</x:v>
      </x:c>
      <x:c r="C32" s="49" t="str">
        <x:v>116年4月-5月</x:v>
      </x:c>
      <x:c r="D32" s="49" t="str">
        <x:v>面談錄取</x:v>
      </x:c>
      <x:c r="E32" s="49" t="str">
        <x:v>完成錄取通知、報到手續與學籍造冊</x:v>
      </x:c>
      <x:c r="F32" s="49" t="str">
        <x:v>發送錄取通知，完成新生報到與學籍資料建檔。</x:v>
      </x:c>
      <x:c r="G32" s="49" t="str">
        <x:v>錄取名冊、報到資料、學籍清冊</x:v>
      </x:c>
      <x:c r="H32" s="49" t="str">
        <x:v>高</x:v>
      </x:c>
      <x:c r="I32" s="49" t="str">
        <x:v>行政/招生</x:v>
      </x:c>
      <x:c r="J32" s="55" t="n">
        <x:v>46538</x:v>
      </x:c>
      <x:c r="K32" s="49" t="str">
        <x:v>待開始</x:v>
      </x:c>
      <x:c r="L32" s="55"/>
      <x:c r="M32" s="49" t="str"/>
      <x:c r="N32" s="50" t="str"/>
    </x:row>
    <x:row r="33" ht="36" customHeight="1">
      <x:c r="A33" s="48" t="str">
        <x:v>P6-03</x:v>
      </x:c>
      <x:c r="B33" s="49" t="str">
        <x:v>第六期</x:v>
      </x:c>
      <x:c r="C33" s="49" t="str">
        <x:v>116年4月-5月</x:v>
      </x:c>
      <x:c r="D33" s="49" t="str">
        <x:v>師資培訓</x:v>
      </x:c>
      <x:c r="E33" s="49" t="str">
        <x:v>辦理第二階段教師培訓與學生個案討論</x:v>
      </x:c>
      <x:c r="F33" s="49" t="str">
        <x:v>依已錄取學生特質進行個案討論，完成第一學期各領域教案細部編寫與審查。</x:v>
      </x:c>
      <x:c r="G33" s="49" t="str">
        <x:v>培訓紀錄、個案討論表、教案審查表</x:v>
      </x:c>
      <x:c r="H33" s="49" t="str">
        <x:v>高</x:v>
      </x:c>
      <x:c r="I33" s="49" t="str">
        <x:v>教務</x:v>
      </x:c>
      <x:c r="J33" s="55" t="n">
        <x:v>46538</x:v>
      </x:c>
      <x:c r="K33" s="49" t="str">
        <x:v>待開始</x:v>
      </x:c>
      <x:c r="L33" s="55"/>
      <x:c r="M33" s="49" t="str"/>
      <x:c r="N33" s="50" t="str"/>
    </x:row>
    <x:row r="34" ht="36" customHeight="1">
      <x:c r="A34" s="48" t="str">
        <x:v>P6-04</x:v>
      </x:c>
      <x:c r="B34" s="49" t="str">
        <x:v>第六期</x:v>
      </x:c>
      <x:c r="C34" s="49" t="str">
        <x:v>116年4月-5月</x:v>
      </x:c>
      <x:c r="D34" s="49" t="str">
        <x:v>制度文件</x:v>
      </x:c>
      <x:c r="E34" s="49" t="str">
        <x:v>桌上推演與試運轉各項校務流程</x:v>
      </x:c>
      <x:c r="F34" s="49" t="str">
        <x:v>針對請假通報、採購流程、意外災害SOP等流程進行演練與修正。</x:v>
      </x:c>
      <x:c r="G34" s="49" t="str">
        <x:v>演練紀錄、修正版SOP</x:v>
      </x:c>
      <x:c r="H34" s="49" t="str">
        <x:v>高</x:v>
      </x:c>
      <x:c r="I34" s="49" t="str">
        <x:v>行政/總務/教務</x:v>
      </x:c>
      <x:c r="J34" s="55" t="n">
        <x:v>46538</x:v>
      </x:c>
      <x:c r="K34" s="49" t="str">
        <x:v>待開始</x:v>
      </x:c>
      <x:c r="L34" s="55"/>
      <x:c r="M34" s="49" t="str"/>
      <x:c r="N34" s="50" t="str"/>
    </x:row>
    <x:row r="35" ht="36" customHeight="1">
      <x:c r="A35" s="48" t="str">
        <x:v>P7-01</x:v>
      </x:c>
      <x:c r="B35" s="49" t="str">
        <x:v>第七期</x:v>
      </x:c>
      <x:c r="C35" s="49" t="str">
        <x:v>116年6月-7月</x:v>
      </x:c>
      <x:c r="D35" s="49" t="str">
        <x:v>營隊銜接</x:v>
      </x:c>
      <x:c r="E35" s="49" t="str">
        <x:v>辦理暑期先修夏令營</x:v>
      </x:c>
      <x:c r="F35" s="49" t="str">
        <x:v>針對已報到新生辦理暑期先修夏令營，也可適度對外開放。</x:v>
      </x:c>
      <x:c r="G35" s="49" t="str">
        <x:v>營隊名冊、課表、活動紀錄</x:v>
      </x:c>
      <x:c r="H35" s="49" t="str">
        <x:v>中</x:v>
      </x:c>
      <x:c r="I35" s="49" t="str">
        <x:v>教務/招生</x:v>
      </x:c>
      <x:c r="J35" s="55" t="n">
        <x:v>46599</x:v>
      </x:c>
      <x:c r="K35" s="49" t="str">
        <x:v>待開始</x:v>
      </x:c>
      <x:c r="L35" s="55"/>
      <x:c r="M35" s="49" t="str"/>
      <x:c r="N35" s="50" t="str"/>
    </x:row>
    <x:row r="36" ht="36" customHeight="1">
      <x:c r="A36" s="48" t="str">
        <x:v>P7-02</x:v>
      </x:c>
      <x:c r="B36" s="49" t="str">
        <x:v>第七期</x:v>
      </x:c>
      <x:c r="C36" s="49" t="str">
        <x:v>116年6月-7月</x:v>
      </x:c>
      <x:c r="D36" s="49" t="str">
        <x:v>親師生關係</x:v>
      </x:c>
      <x:c r="E36" s="49" t="str">
        <x:v>建立同儕關係與親師默契</x:v>
      </x:c>
      <x:c r="F36" s="49" t="str">
        <x:v>透過營隊讓學生熟悉機構環境，建立親師溝通節奏。</x:v>
      </x:c>
      <x:c r="G36" s="49" t="str">
        <x:v>觀察紀錄、親師溝通紀錄</x:v>
      </x:c>
      <x:c r="H36" s="49" t="str">
        <x:v>中</x:v>
      </x:c>
      <x:c r="I36" s="49" t="str">
        <x:v>教務/導師群</x:v>
      </x:c>
      <x:c r="J36" s="55" t="n">
        <x:v>46599</x:v>
      </x:c>
      <x:c r="K36" s="49" t="str">
        <x:v>待開始</x:v>
      </x:c>
      <x:c r="L36" s="55"/>
      <x:c r="M36" s="49" t="str"/>
      <x:c r="N36" s="50" t="str"/>
    </x:row>
    <x:row r="37" ht="36" customHeight="1">
      <x:c r="A37" s="48" t="str">
        <x:v>P7-03</x:v>
      </x:c>
      <x:c r="B37" s="49" t="str">
        <x:v>第七期</x:v>
      </x:c>
      <x:c r="C37" s="49" t="str">
        <x:v>116年6月-7月</x:v>
      </x:c>
      <x:c r="D37" s="49" t="str">
        <x:v>系統建置</x:v>
      </x:c>
      <x:c r="E37" s="49" t="str">
        <x:v>校務行政系統與親師溝通APP上線</x:v>
      </x:c>
      <x:c r="F37" s="49" t="str">
        <x:v>完成帳號建置、權限設定與壓力測試。</x:v>
      </x:c>
      <x:c r="G37" s="49" t="str">
        <x:v>系統測試表、帳號清冊</x:v>
      </x:c>
      <x:c r="H37" s="49" t="str">
        <x:v>高</x:v>
      </x:c>
      <x:c r="I37" s="49" t="str">
        <x:v>資訊/行政</x:v>
      </x:c>
      <x:c r="J37" s="55" t="n">
        <x:v>46599</x:v>
      </x:c>
      <x:c r="K37" s="49" t="str">
        <x:v>待開始</x:v>
      </x:c>
      <x:c r="L37" s="55"/>
      <x:c r="M37" s="49" t="str"/>
      <x:c r="N37" s="50" t="str"/>
    </x:row>
    <x:row r="38" ht="36" customHeight="1">
      <x:c r="A38" s="48" t="str">
        <x:v>P7-04</x:v>
      </x:c>
      <x:c r="B38" s="49" t="str">
        <x:v>第七期</x:v>
      </x:c>
      <x:c r="C38" s="49" t="str">
        <x:v>116年6月-7月</x:v>
      </x:c>
      <x:c r="D38" s="49" t="str">
        <x:v>開學整備</x:v>
      </x:c>
      <x:c r="E38" s="49" t="str">
        <x:v>完成開學前最終安全校驗</x:v>
      </x:c>
      <x:c r="F38" s="49" t="str">
        <x:v>完成安全檢查、飲水機水質檢測、全面清潔消毒與教具歸位。</x:v>
      </x:c>
      <x:c r="G38" s="49" t="str">
        <x:v>安全檢查表、水質檢測、清消紀錄</x:v>
      </x:c>
      <x:c r="H38" s="49" t="str">
        <x:v>高</x:v>
      </x:c>
      <x:c r="I38" s="49" t="str">
        <x:v>總務</x:v>
      </x:c>
      <x:c r="J38" s="55" t="n">
        <x:v>46599</x:v>
      </x:c>
      <x:c r="K38" s="49" t="str">
        <x:v>待開始</x:v>
      </x:c>
      <x:c r="L38" s="55"/>
      <x:c r="M38" s="49" t="str"/>
      <x:c r="N38" s="50" t="str"/>
    </x:row>
    <x:row r="39" ht="36" customHeight="1">
      <x:c r="A39" s="48" t="str">
        <x:v>P8-01</x:v>
      </x:c>
      <x:c r="B39" s="49" t="str">
        <x:v>第八期</x:v>
      </x:c>
      <x:c r="C39" s="49" t="str">
        <x:v>116年8月</x:v>
      </x:c>
      <x:c r="D39" s="49" t="str">
        <x:v>開學準備</x:v>
      </x:c>
      <x:c r="E39" s="49" t="str">
        <x:v>全體教職員回到崗位</x:v>
      </x:c>
      <x:c r="F39" s="49" t="str">
        <x:v>完成全校性模擬開學演練，包含上下學動線、午餐動線與防災演練。</x:v>
      </x:c>
      <x:c r="G39" s="49" t="str">
        <x:v>演練紀錄、修正清單</x:v>
      </x:c>
      <x:c r="H39" s="49" t="str">
        <x:v>高</x:v>
      </x:c>
      <x:c r="I39" s="49" t="str">
        <x:v>行政/全體教職員</x:v>
      </x:c>
      <x:c r="J39" s="55" t="n">
        <x:v>46630</x:v>
      </x:c>
      <x:c r="K39" s="49" t="str">
        <x:v>待開始</x:v>
      </x:c>
      <x:c r="L39" s="55"/>
      <x:c r="M39" s="49" t="str"/>
      <x:c r="N39" s="50" t="str"/>
    </x:row>
    <x:row r="40" ht="36" customHeight="1">
      <x:c r="A40" s="48" t="str">
        <x:v>P8-02</x:v>
      </x:c>
      <x:c r="B40" s="49" t="str">
        <x:v>第八期</x:v>
      </x:c>
      <x:c r="C40" s="49" t="str">
        <x:v>116年8月</x:v>
      </x:c>
      <x:c r="D40" s="49" t="str">
        <x:v>家長活動</x:v>
      </x:c>
      <x:c r="E40" s="49" t="str">
        <x:v>發送正式開學通知與學用品清單</x:v>
      </x:c>
      <x:c r="F40" s="49" t="str">
        <x:v>舉辦開學前親師座談會，解答最後疑慮並推選家長代表。</x:v>
      </x:c>
      <x:c r="G40" s="49" t="str">
        <x:v>通知單、用品清單、座談會紀錄</x:v>
      </x:c>
      <x:c r="H40" s="49" t="str">
        <x:v>高</x:v>
      </x:c>
      <x:c r="I40" s="49" t="str">
        <x:v>行政/導師群</x:v>
      </x:c>
      <x:c r="J40" s="55" t="n">
        <x:v>46630</x:v>
      </x:c>
      <x:c r="K40" s="49" t="str">
        <x:v>待開始</x:v>
      </x:c>
      <x:c r="L40" s="55"/>
      <x:c r="M40" s="49" t="str"/>
      <x:c r="N40" s="50" t="str"/>
    </x:row>
    <x:row r="41" ht="36" customHeight="1">
      <x:c r="A41" s="48" t="str">
        <x:v>P8-03</x:v>
      </x:c>
      <x:c r="B41" s="49" t="str">
        <x:v>第八期</x:v>
      </x:c>
      <x:c r="C41" s="49" t="str">
        <x:v>116年8月</x:v>
      </x:c>
      <x:c r="D41" s="49" t="str">
        <x:v>團隊凝聚</x:v>
      </x:c>
      <x:c r="E41" s="49" t="str">
        <x:v>舉辦教職員開學誓師大會</x:v>
      </x:c>
      <x:c r="F41" s="49" t="str">
        <x:v>確認每一位夥伴狀態皆已準備就緒。</x:v>
      </x:c>
      <x:c r="G41" s="49" t="str">
        <x:v>誓師大會紀錄、待辦清單</x:v>
      </x:c>
      <x:c r="H41" s="49" t="str">
        <x:v>中</x:v>
      </x:c>
      <x:c r="I41" s="49" t="str">
        <x:v>校長室/人事</x:v>
      </x:c>
      <x:c r="J41" s="55" t="n">
        <x:v>46630</x:v>
      </x:c>
      <x:c r="K41" s="49" t="str">
        <x:v>待開始</x:v>
      </x:c>
      <x:c r="L41" s="55"/>
      <x:c r="M41" s="49" t="str"/>
      <x:c r="N41" s="50" t="str"/>
    </x:row>
    <x:row r="42" ht="36" customHeight="1">
      <x:c r="A42" s="51" t="str">
        <x:v>P8-04</x:v>
      </x:c>
      <x:c r="B42" s="52" t="str">
        <x:v>第八期</x:v>
      </x:c>
      <x:c r="C42" s="52" t="str">
        <x:v>116年8月</x:v>
      </x:c>
      <x:c r="D42" s="52" t="str">
        <x:v>正式開學</x:v>
      </x:c>
      <x:c r="E42" s="52" t="str">
        <x:v>正式啟動機構營運</x:v>
      </x:c>
      <x:c r="F42" s="52" t="str">
        <x:v>以迎新活動迎接第一屆睿思學生，正式啟動機構營運。</x:v>
      </x:c>
      <x:c r="G42" s="52" t="str">
        <x:v>開學活動紀錄、營運啟動紀錄</x:v>
      </x:c>
      <x:c r="H42" s="52" t="str">
        <x:v>高</x:v>
      </x:c>
      <x:c r="I42" s="52" t="str">
        <x:v>校長室/全體教職員</x:v>
      </x:c>
      <x:c r="J42" s="56" t="n">
        <x:v>46630</x:v>
      </x:c>
      <x:c r="K42" s="52" t="str">
        <x:v>待開始</x:v>
      </x:c>
      <x:c r="L42" s="56"/>
      <x:c r="M42" s="52" t="str"/>
      <x:c r="N42" s="53" t="str"/>
    </x:row>
  </x:sheetData>
  <x:conditionalFormatting sqref="K2:K42">
    <x:cfRule type="containsText" dxfId="0" priority="1" operator="containsText" text="已完成"/>
    <x:cfRule type="containsText" dxfId="1" priority="2" operator="containsText" text="進行中"/>
    <x:cfRule type="containsText" dxfId="2" priority="3" operator="containsText" text="需修正"/>
    <x:cfRule type="containsText" dxfId="3" priority="4" operator="containsText" text="延後"/>
  </x:conditionalFormatting>
  <x:conditionalFormatting sqref="H2:H42">
    <x:cfRule type="containsText" dxfId="4" priority="5" operator="containsText" text="高"/>
  </x:conditionalFormatting>
  <x:dataValidations count="2">
    <x:dataValidation type="list" sqref="H2:H42">
      <x:formula1>"高,中,低"</x:formula1>
    </x:dataValidation>
    <x:dataValidation type="list" sqref="K2:K42">
      <x:formula1>"待開始,進行中,待確認,已完成,延後,需修正"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d0d2dbcb334e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42" hidden="0" customWidth="1"/>
    <x:col min="5" max="5" width="16" hidden="0" customWidth="1"/>
    <x:col min="6" max="6" width="42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57" t="str">
        <x:v>日期</x:v>
      </x:c>
      <x:c r="B1" s="2" t="str">
        <x:v>階段</x:v>
      </x:c>
      <x:c r="C1" s="2" t="str">
        <x:v>關聯ID</x:v>
      </x:c>
      <x:c r="D1" s="2" t="str">
        <x:v>變更/問題描述</x:v>
      </x:c>
      <x:c r="E1" s="2" t="str">
        <x:v>影響面向</x:v>
      </x:c>
      <x:c r="F1" s="2" t="str">
        <x:v>決議</x:v>
      </x:c>
      <x:c r="G1" s="2" t="str">
        <x:v>負責人</x:v>
      </x:c>
      <x:c r="H1" s="57" t="str">
        <x:v>追蹤期限</x:v>
      </x:c>
      <x:c r="I1" s="2" t="str">
        <x:v>結案狀態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  <x:c r="I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  <x:c r="I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  <x:c r="I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  <x:c r="I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  <x:c r="I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  <x:c r="I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</x:row>
  </x:sheetData>
  <x:dataValidations count="1">
    <x:dataValidation type="list" sqref="I2:I21">
      <x:formula1>"追蹤中,已結案,延後,需升級決策"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568925fbaf4c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70" hidden="0" customWidth="1"/>
  </x:cols>
  <x:sheetData>
    <x:row r="1">
      <x:c r="A1" s="2" t="str">
        <x:v>階段</x:v>
      </x:c>
      <x:c r="B1" s="2" t="str">
        <x:v>期程</x:v>
      </x:c>
      <x:c r="C1" s="2" t="str">
        <x:v>主題</x:v>
      </x:c>
      <x:c r="D1" s="2" t="str">
        <x:v>原始計畫重點摘要</x:v>
      </x:c>
    </x:row>
    <x:row r="2">
      <x:c r="A2" s="45" t="str">
        <x:v>第一期</x:v>
      </x:c>
      <x:c r="B2" s="46" t="str">
        <x:v>115年6月-7月</x:v>
      </x:c>
      <x:c r="C2" s="46" t="str">
        <x:v>計畫修正與立案前置期</x:v>
      </x:c>
      <x:c r="D2" s="47" t="str">
        <x:v>完成審議會修正意見、取得計畫核准、啟動核心行政編組</x:v>
      </x:c>
    </x:row>
    <x:row r="3">
      <x:c r="A3" s="48" t="str">
        <x:v>第二期</x:v>
      </x:c>
      <x:c r="B3" s="49" t="str">
        <x:v>115年8月-9月</x:v>
      </x:c>
      <x:c r="C3" s="49" t="str">
        <x:v>硬體發包、團隊招募與理念倡議期</x:v>
      </x:c>
      <x:c r="D3" s="50" t="str">
        <x:v>空間合法施工、啟動第一線教職員徵選、對外發聲、確立內部規章</x:v>
      </x:c>
    </x:row>
    <x:row r="4">
      <x:c r="A4" s="48" t="str">
        <x:v>第三期</x:v>
      </x:c>
      <x:c r="B4" s="49" t="str">
        <x:v>115年10月-11月</x:v>
      </x:c>
      <x:c r="C4" s="49" t="str">
        <x:v>機構立案、硬體施工期與設備建置期</x:v>
      </x:c>
      <x:c r="D4" s="50" t="str">
        <x:v>硬體期中查驗、教學設備採購、教職員錄取與初步共識</x:v>
      </x:c>
    </x:row>
    <x:row r="5">
      <x:c r="A5" s="48" t="str">
        <x:v>第四期</x:v>
      </x:c>
      <x:c r="B5" s="49" t="str">
        <x:v>115年12月-116年1月</x:v>
      </x:c>
      <x:c r="C5" s="49" t="str">
        <x:v>寒假試辦、培訓啟動與立案申請期</x:v>
      </x:c>
      <x:c r="D5" s="50" t="str">
        <x:v>透過營隊測試課程、新進師資共識培訓、硬體完工，並於12月15日前遞交正式立案申請</x:v>
      </x:c>
    </x:row>
    <x:row r="6">
      <x:c r="A6" s="48" t="str">
        <x:v>第五期</x:v>
      </x:c>
      <x:c r="B6" s="49" t="str">
        <x:v>116年2月-3月</x:v>
      </x:c>
      <x:c r="C6" s="49" t="str">
        <x:v>立案追蹤與正式招生期</x:v>
      </x:c>
      <x:c r="D6" s="50" t="str">
        <x:v>追蹤立案補件、會勘與審查進度，全面啟動招生作業、設備進駐</x:v>
      </x:c>
    </x:row>
    <x:row r="7">
      <x:c r="A7" s="48" t="str">
        <x:v>第六期</x:v>
      </x:c>
      <x:c r="B7" s="49" t="str">
        <x:v>116年4月-5月</x:v>
      </x:c>
      <x:c r="C7" s="49" t="str">
        <x:v>面談錄取與教案深化期</x:v>
      </x:c>
      <x:c r="D7" s="50" t="str">
        <x:v>確認首屆學生名單、深化親師生關係、課程完備</x:v>
      </x:c>
    </x:row>
    <x:row r="8">
      <x:c r="A8" s="48" t="str">
        <x:v>第七期</x:v>
      </x:c>
      <x:c r="B8" s="49" t="str">
        <x:v>116年6月-7月</x:v>
      </x:c>
      <x:c r="C8" s="49" t="str">
        <x:v>暑期營隊與開學整備期</x:v>
      </x:c>
      <x:c r="D8" s="50" t="str">
        <x:v>暑假銜接、行政系統壓力測試、準備就緒</x:v>
      </x:c>
    </x:row>
    <x:row r="9">
      <x:c r="A9" s="51" t="str">
        <x:v>第八期</x:v>
      </x:c>
      <x:c r="B9" s="52" t="str">
        <x:v>116年8月</x:v>
      </x:c>
      <x:c r="C9" s="52" t="str">
        <x:v>開學準備與正式啟航期</x:v>
      </x:c>
      <x:c r="D9" s="53" t="str">
        <x:v>萬事具備、激勵團隊士氣、順利開學</x:v>
      </x:c>
    </x:row>
  </x:sheetData>
  <x:pageMargins left="0.7" right="0.7" top="0.75" bottom="0.75" header="0.3" footer="0.3"/>
  <x:tableParts count="1">
    <x:tablePart xmlns:r="http://schemas.openxmlformats.org/officeDocument/2006/relationships" r:id="R6c1ffd79de8543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</x:cols>
  <x:sheetData>
    <x:row r="1">
      <x:c r="A1" s="2" t="str">
        <x:v>狀態</x:v>
      </x:c>
      <x:c r="B1" s="2" t="str">
        <x:v>優先</x:v>
      </x:c>
    </x:row>
    <x:row r="2">
      <x:c r="A2" t="str">
        <x:v>待開始</x:v>
      </x:c>
      <x:c r="B2" t="str">
        <x:v>高</x:v>
      </x:c>
    </x:row>
    <x:row r="3">
      <x:c r="A3" t="str">
        <x:v>進行中</x:v>
      </x:c>
      <x:c r="B3" t="str">
        <x:v>中</x:v>
      </x:c>
    </x:row>
    <x:row r="4">
      <x:c r="A4" t="str">
        <x:v>待確認</x:v>
      </x:c>
      <x:c r="B4" t="str">
        <x:v>低</x:v>
      </x:c>
    </x:row>
    <x:row r="5">
      <x:c r="A5" t="str">
        <x:v>已完成</x:v>
      </x:c>
    </x:row>
    <x:row r="6">
      <x:c r="A6" t="str">
        <x:v>延後</x:v>
      </x:c>
    </x:row>
    <x:row r="7">
      <x:c r="A7" t="str">
        <x:v>需修正</x:v>
      </x:c>
    </x:row>
  </x:sheetData>
  <x:pageMargins left="0.7" right="0.7" top="0.75" bottom="0.75" header="0.3" footer="0.3"/>
</x:worksheet>
</file>